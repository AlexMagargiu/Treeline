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ions" sheetId="2" state="visible" r:id="rId4"/>
    <sheet name="Scale" sheetId="3" state="visible" r:id="rId5"/>
    <sheet name="Stages" sheetId="4" state="visible" r:id="rId6"/>
    <sheet name="Routes" sheetId="5" state="visible" r:id="rId7"/>
  </sheets>
  <definedNames>
    <definedName function="false" hidden="true" localSheetId="4" name="_xlnm._FilterDatabase" vbProcedure="false">Routes!$A$1:$AG$186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<sst xmlns="http://schemas.openxmlformats.org/spreadsheetml/2006/main" count="1928" uniqueCount="613">
  <si>
    <t xml:space="preserve">Hiking database - routes reachable by train from Bucuresti Nord</t>
  </si>
  <si>
    <t xml:space="preserve">What this file is</t>
  </si>
  <si>
    <t xml:space="preserve">A route database of 185 entries in the mountains reachable by train from Bucuresti Nord.</t>
  </si>
  <si>
    <t xml:space="preserve">The Routes sheet holds the data. The Stations, Scale and Stages sheets hold the reference tables it reads.</t>
  </si>
  <si>
    <t xml:space="preserve">How to use it</t>
  </si>
  <si>
    <t xml:space="preserve">1. Open the Routes sheet and use the filter row.</t>
  </si>
  <si>
    <t xml:space="preserve">2. Filter Stage = 1 while you build your base. Move up one stage at a time.</t>
  </si>
  <si>
    <t xml:space="preserve">3. Filter Quiet = 4 or 5 when you want a route that few people walk.</t>
  </si>
  <si>
    <t xml:space="preserve">4. Write yes in the Done column and the date in Date done. Filter Done = blank to find a new route.</t>
  </si>
  <si>
    <t xml:space="preserve">5. Blue cells are inputs you can change. Black cells are formulas and recalculate by themselves.</t>
  </si>
  <si>
    <t xml:space="preserve">How the numbers are produced</t>
  </si>
  <si>
    <t xml:space="preserve">Train h: read from the Stations sheet, the longer of the start and finish station.</t>
  </si>
  <si>
    <t xml:space="preserve">Moving time now: km / 3.0 + ascent / 350. A deliberately slow pace, so that you do not miss the last train.</t>
  </si>
  <si>
    <t xml:space="preserve">Moving time fit: km / 4.2 + ascent / 500. The pace to expect after a season of hiking.</t>
  </si>
  <si>
    <t xml:space="preserve">Day length: two train journeys + walk + bus + moving time + 1 h for breaks and transfers.</t>
  </si>
  <si>
    <t xml:space="preserve">Effort points: km + ascent / 100. Difficulty 1 to 10 is read from this on the Scale sheet.</t>
  </si>
  <si>
    <t xml:space="preserve">Overall difficulty: the higher of the hiking difficulty and the technical score.</t>
  </si>
  <si>
    <t xml:space="preserve">Energy: MET value of the terrain x body mass x moving time now.</t>
  </si>
  <si>
    <t xml:space="preserve">Accuracy</t>
  </si>
  <si>
    <t xml:space="preserve">Estimate: every number in the Km, Ascent and Train h columns is an estimate, not a measured value.</t>
  </si>
  <si>
    <t xml:space="preserve">Confidence column: H = well documented, M = partly documented, V = verify on a map before you go.</t>
  </si>
  <si>
    <t xml:space="preserve">Check the exact trains on CFR Calatori or infofer.ro for the day you travel. Regional lines change often.</t>
  </si>
  <si>
    <t xml:space="preserve">The energy columns are gross estimates with an error of about 25 percent. Do not plan food from them.</t>
  </si>
  <si>
    <t xml:space="preserve">Safety</t>
  </si>
  <si>
    <t xml:space="preserve">Warning: on any route with CHAINS, EXPOSED, FERRATA or CLIMB in the Technical column, a fall can kill you.</t>
  </si>
  <si>
    <t xml:space="preserve">Do not enter that terrain without instruction, a helmet and a partner.</t>
  </si>
  <si>
    <t xml:space="preserve">Warning: a via ferrata kit has a maximum user mass. Read the manufacturer figure before you buy or hire one.</t>
  </si>
  <si>
    <t xml:space="preserve">Caution: winter routes need microspikes or crampons and an avalanche bulletin check.</t>
  </si>
  <si>
    <t xml:space="preserve">Caution: a late finish means a night descent. Carry a headlamp on every route above 6 h.</t>
  </si>
  <si>
    <t xml:space="preserve">Progression</t>
  </si>
  <si>
    <t xml:space="preserve">The Stages sheet describes stage 1 to stage 5.</t>
  </si>
  <si>
    <t xml:space="preserve">Move up a stage when you can complete the current stage comfortably, not on a date and not on a body mass.</t>
  </si>
  <si>
    <t xml:space="preserve">Hours on your feet is the first metric. Distance is second. Ascent is third. Speed is last.</t>
  </si>
  <si>
    <t xml:space="preserve">Counts</t>
  </si>
  <si>
    <t xml:space="preserve">Routes in the database</t>
  </si>
  <si>
    <t xml:space="preserve">Stage 1 routes</t>
  </si>
  <si>
    <t xml:space="preserve">Stage 2 routes</t>
  </si>
  <si>
    <t xml:space="preserve">Stage 3 routes</t>
  </si>
  <si>
    <t xml:space="preserve">Stage 4 routes</t>
  </si>
  <si>
    <t xml:space="preserve">Stage 5 routes</t>
  </si>
  <si>
    <t xml:space="preserve">Quiet routes (4 or 5)</t>
  </si>
  <si>
    <t xml:space="preserve">Routes done so far</t>
  </si>
  <si>
    <t xml:space="preserve">Routes still to do</t>
  </si>
  <si>
    <t xml:space="preserve">Station</t>
  </si>
  <si>
    <t xml:space="preserve">Train h from Bucuresti Nord</t>
  </si>
  <si>
    <t xml:space="preserve">Changes</t>
  </si>
  <si>
    <t xml:space="preserve">Line</t>
  </si>
  <si>
    <t xml:space="preserve">Note</t>
  </si>
  <si>
    <t xml:space="preserve">Bucuresti Nord</t>
  </si>
  <si>
    <t xml:space="preserve">-</t>
  </si>
  <si>
    <t xml:space="preserve">Start</t>
  </si>
  <si>
    <t xml:space="preserve">Comana</t>
  </si>
  <si>
    <t xml:space="preserve">M900 Giurgiu</t>
  </si>
  <si>
    <t xml:space="preserve">Regional trains</t>
  </si>
  <si>
    <t xml:space="preserve">Mogosoaia</t>
  </si>
  <si>
    <t xml:space="preserve">M300 north of Bucharest</t>
  </si>
  <si>
    <t xml:space="preserve">Halt, regional only - verify</t>
  </si>
  <si>
    <t xml:space="preserve">Buftea</t>
  </si>
  <si>
    <t xml:space="preserve">M300</t>
  </si>
  <si>
    <t xml:space="preserve">Campina</t>
  </si>
  <si>
    <t xml:space="preserve">IR and regional</t>
  </si>
  <si>
    <t xml:space="preserve">Comarnic</t>
  </si>
  <si>
    <t xml:space="preserve">Regional only</t>
  </si>
  <si>
    <t xml:space="preserve">Posada</t>
  </si>
  <si>
    <t xml:space="preserve">Halt, regional only</t>
  </si>
  <si>
    <t xml:space="preserve">Sinaia</t>
  </si>
  <si>
    <t xml:space="preserve">Busteni</t>
  </si>
  <si>
    <t xml:space="preserve">Azuga</t>
  </si>
  <si>
    <t xml:space="preserve">Predeal</t>
  </si>
  <si>
    <t xml:space="preserve">Timisu de Jos</t>
  </si>
  <si>
    <t xml:space="preserve">Timisu de Sus</t>
  </si>
  <si>
    <t xml:space="preserve">Darste</t>
  </si>
  <si>
    <t xml:space="preserve">Brasov</t>
  </si>
  <si>
    <t xml:space="preserve">Codlea</t>
  </si>
  <si>
    <t xml:space="preserve">M200 to Fagaras</t>
  </si>
  <si>
    <t xml:space="preserve">Change at Brasov</t>
  </si>
  <si>
    <t xml:space="preserve">Vladeni</t>
  </si>
  <si>
    <t xml:space="preserve">Change at Brasov - verify</t>
  </si>
  <si>
    <t xml:space="preserve">Sacele</t>
  </si>
  <si>
    <t xml:space="preserve">M301 Intorsura Buzaului</t>
  </si>
  <si>
    <t xml:space="preserve">Change at Brasov, few trains</t>
  </si>
  <si>
    <t xml:space="preserve">Rasnov</t>
  </si>
  <si>
    <t xml:space="preserve">M306 Zarnesti</t>
  </si>
  <si>
    <t xml:space="preserve">Zarnesti</t>
  </si>
  <si>
    <t xml:space="preserve">Intorsura Buzaului</t>
  </si>
  <si>
    <t xml:space="preserve">M301</t>
  </si>
  <si>
    <t xml:space="preserve">Ucea de Jos</t>
  </si>
  <si>
    <t xml:space="preserve">M200</t>
  </si>
  <si>
    <t xml:space="preserve">Change at Brasov, bus onward</t>
  </si>
  <si>
    <t xml:space="preserve">Porumbacu de Jos</t>
  </si>
  <si>
    <t xml:space="preserve">Avrig</t>
  </si>
  <si>
    <t xml:space="preserve">Valenii de Munte</t>
  </si>
  <si>
    <t xml:space="preserve">M304 Transferoviar</t>
  </si>
  <si>
    <t xml:space="preserve">Change at Ploiesti Sud</t>
  </si>
  <si>
    <t xml:space="preserve">Maneciu</t>
  </si>
  <si>
    <t xml:space="preserve">Slanic Prahova</t>
  </si>
  <si>
    <t xml:space="preserve">M303 Transferoviar</t>
  </si>
  <si>
    <t xml:space="preserve">Fieni</t>
  </si>
  <si>
    <t xml:space="preserve">M901 Targoviste</t>
  </si>
  <si>
    <t xml:space="preserve">Change at Titu - verify</t>
  </si>
  <si>
    <t xml:space="preserve">Pietrosita</t>
  </si>
  <si>
    <t xml:space="preserve">Nehoiasu</t>
  </si>
  <si>
    <t xml:space="preserve">M502 Buzau - Nehoiasu</t>
  </si>
  <si>
    <t xml:space="preserve">VERIFY: service may be suspended</t>
  </si>
  <si>
    <t xml:space="preserve">Estimate: typical door-to-door rail times, one way. Verify on infofer.ro for your travel date.</t>
  </si>
  <si>
    <t xml:space="preserve">Difficulty from effort points (effort = km + ascent/100)</t>
  </si>
  <si>
    <t xml:space="preserve">Effort points from</t>
  </si>
  <si>
    <t xml:space="preserve">Difficulty</t>
  </si>
  <si>
    <t xml:space="preserve">Meaning</t>
  </si>
  <si>
    <t xml:space="preserve">Easy walk</t>
  </si>
  <si>
    <t xml:space="preserve">Easy hike</t>
  </si>
  <si>
    <t xml:space="preserve">Easy to moderate</t>
  </si>
  <si>
    <t xml:space="preserve">Moderate</t>
  </si>
  <si>
    <t xml:space="preserve">Moderate plus</t>
  </si>
  <si>
    <t xml:space="preserve">Hard</t>
  </si>
  <si>
    <t xml:space="preserve">Very hard</t>
  </si>
  <si>
    <t xml:space="preserve">Long hard mountain day</t>
  </si>
  <si>
    <t xml:space="preserve">Very demanding</t>
  </si>
  <si>
    <t xml:space="preserve">Extreme or technical</t>
  </si>
  <si>
    <t xml:space="preserve">Terrain and MET value used for the energy estimate</t>
  </si>
  <si>
    <t xml:space="preserve">Terrain</t>
  </si>
  <si>
    <t xml:space="preserve">MET</t>
  </si>
  <si>
    <t xml:space="preserve">FLAT</t>
  </si>
  <si>
    <t xml:space="preserve">Flat path or park ground</t>
  </si>
  <si>
    <t xml:space="preserve">ROAD</t>
  </si>
  <si>
    <t xml:space="preserve">Forest road or valley road</t>
  </si>
  <si>
    <t xml:space="preserve">FOREST</t>
  </si>
  <si>
    <t xml:space="preserve">Forest trail, moderate gradient</t>
  </si>
  <si>
    <t xml:space="preserve">TRAIL</t>
  </si>
  <si>
    <t xml:space="preserve">Marked mountain trail</t>
  </si>
  <si>
    <t xml:space="preserve">ROCKY</t>
  </si>
  <si>
    <t xml:space="preserve">Rocky trail, hands occasionally needed</t>
  </si>
  <si>
    <t xml:space="preserve">SCREE</t>
  </si>
  <si>
    <t xml:space="preserve">Loose stone, steep</t>
  </si>
  <si>
    <t xml:space="preserve">LADDERS</t>
  </si>
  <si>
    <t xml:space="preserve">Fixed ladders on the route</t>
  </si>
  <si>
    <t xml:space="preserve">CHAINS</t>
  </si>
  <si>
    <t xml:space="preserve">Fixed cables or chains</t>
  </si>
  <si>
    <t xml:space="preserve">EXPOSED</t>
  </si>
  <si>
    <t xml:space="preserve">Exposed traverse, fall risk</t>
  </si>
  <si>
    <t xml:space="preserve">FERRATA</t>
  </si>
  <si>
    <t xml:space="preserve">Via ferrata, harness needed</t>
  </si>
  <si>
    <t xml:space="preserve">CLIMB</t>
  </si>
  <si>
    <t xml:space="preserve">Roped climbing</t>
  </si>
  <si>
    <t xml:space="preserve">Technical grade and its score on the 1 to 10 scale</t>
  </si>
  <si>
    <t xml:space="preserve">Technical</t>
  </si>
  <si>
    <t xml:space="preserve">Score</t>
  </si>
  <si>
    <t xml:space="preserve">NONE</t>
  </si>
  <si>
    <t xml:space="preserve">Walking only</t>
  </si>
  <si>
    <t xml:space="preserve">STEEP</t>
  </si>
  <si>
    <t xml:space="preserve">Steep ground, no equipment</t>
  </si>
  <si>
    <t xml:space="preserve">Fixed ladders, no equipment</t>
  </si>
  <si>
    <t xml:space="preserve">Cables or chains, head for heights</t>
  </si>
  <si>
    <t xml:space="preserve">SCRAMBLE</t>
  </si>
  <si>
    <t xml:space="preserve">Hands on rock, no rope</t>
  </si>
  <si>
    <t xml:space="preserve">BEGINNER_CLIMB</t>
  </si>
  <si>
    <t xml:space="preserve">Beginner sport climbing with instruction</t>
  </si>
  <si>
    <t xml:space="preserve">Exposed alpine terrain, helmet</t>
  </si>
  <si>
    <t xml:space="preserve">FERRATA_D</t>
  </si>
  <si>
    <t xml:space="preserve">Via ferrata grade D, full kit</t>
  </si>
  <si>
    <t xml:space="preserve">Roped multi-pitch climbing</t>
  </si>
  <si>
    <t xml:space="preserve">Hiking difficulty and technical score are separate. Overall = the higher of the two.</t>
  </si>
  <si>
    <t xml:space="preserve">Progression stages</t>
  </si>
  <si>
    <t xml:space="preserve">Stage</t>
  </si>
  <si>
    <t xml:space="preserve">Overall difficulty</t>
  </si>
  <si>
    <t xml:space="preserve">Target per outing</t>
  </si>
  <si>
    <t xml:space="preserve">Move up when you can</t>
  </si>
  <si>
    <t xml:space="preserve">Example routes</t>
  </si>
  <si>
    <t xml:space="preserve">1 to 3</t>
  </si>
  <si>
    <t xml:space="preserve">6 to 10 km, 100 to 400 m ascent, 2 to 4 h</t>
  </si>
  <si>
    <t xml:space="preserve">walk 4 h with no pain the next day</t>
  </si>
  <si>
    <t xml:space="preserve">Poiana Stanii, Urlatoarea, Clabucet, Comana</t>
  </si>
  <si>
    <t xml:space="preserve">4 to 5</t>
  </si>
  <si>
    <t xml:space="preserve">10 to 15 km, 300 to 700 m ascent, 4 to 6 h</t>
  </si>
  <si>
    <t xml:space="preserve">repeat a 5 h day twice in one month</t>
  </si>
  <si>
    <t xml:space="preserve">Cabana Susai, Cazacu, Sapte Scari, Curmatura</t>
  </si>
  <si>
    <t xml:space="preserve">6 to 7</t>
  </si>
  <si>
    <t xml:space="preserve">15 to 20 km, 600 to 1000 m ascent, 5 to 8 h</t>
  </si>
  <si>
    <t xml:space="preserve">finish a 7 h day and still descend safely</t>
  </si>
  <si>
    <t xml:space="preserve">Baiului ridge, Piatra Mare, Furnica, Diham</t>
  </si>
  <si>
    <t xml:space="preserve">8</t>
  </si>
  <si>
    <t xml:space="preserve">20 to 25 km or 1000 m plus, 7 to 9 h</t>
  </si>
  <si>
    <t xml:space="preserve">complete two long days back to back</t>
  </si>
  <si>
    <t xml:space="preserve">Azuga to Sinaia traverse, Omu via Valea Cerbului</t>
  </si>
  <si>
    <t xml:space="preserve">9 to 10</t>
  </si>
  <si>
    <t xml:space="preserve">technical ground, rope or ferrata kit</t>
  </si>
  <si>
    <t xml:space="preserve">only after instruction on rock and on cables</t>
  </si>
  <si>
    <t xml:space="preserve">Brana Caprelor, Bucsoiu, Cheile Rasnoavei ferrata</t>
  </si>
  <si>
    <t xml:space="preserve">The trigger to move up is what you can do, not your body mass and not the calendar.</t>
  </si>
  <si>
    <t xml:space="preserve">Keep most outings one stage below your maximum. Hours on your feet build fitness faster than difficulty does.</t>
  </si>
  <si>
    <t xml:space="preserve">ID</t>
  </si>
  <si>
    <t xml:space="preserve">Massif</t>
  </si>
  <si>
    <t xml:space="preserve">Route</t>
  </si>
  <si>
    <t xml:space="preserve">Start station</t>
  </si>
  <si>
    <t xml:space="preserve">Finish station</t>
  </si>
  <si>
    <t xml:space="preserve">Train h one way</t>
  </si>
  <si>
    <t xml:space="preserve">Walk to start min</t>
  </si>
  <si>
    <t xml:space="preserve">Bus min</t>
  </si>
  <si>
    <t xml:space="preserve">Km</t>
  </si>
  <si>
    <t xml:space="preserve">Ascent m</t>
  </si>
  <si>
    <t xml:space="preserve">Season</t>
  </si>
  <si>
    <t xml:space="preserve">Quiet 1-5</t>
  </si>
  <si>
    <t xml:space="preserve">Confidence</t>
  </si>
  <si>
    <t xml:space="preserve">Moving time now h</t>
  </si>
  <si>
    <t xml:space="preserve">Moving time fit h</t>
  </si>
  <si>
    <t xml:space="preserve">Day length h</t>
  </si>
  <si>
    <t xml:space="preserve">Effort points</t>
  </si>
  <si>
    <t xml:space="preserve">Hiking difficulty</t>
  </si>
  <si>
    <t xml:space="preserve">Technical score</t>
  </si>
  <si>
    <t xml:space="preserve">Trip type</t>
  </si>
  <si>
    <t xml:space="preserve">kcal 130 kg</t>
  </si>
  <si>
    <t xml:space="preserve">kcal 120 kg</t>
  </si>
  <si>
    <t xml:space="preserve">kcal 110 kg</t>
  </si>
  <si>
    <t xml:space="preserve">kcal 100 kg</t>
  </si>
  <si>
    <t xml:space="preserve">Notes</t>
  </si>
  <si>
    <t xml:space="preserve">Done</t>
  </si>
  <si>
    <t xml:space="preserve">Date done</t>
  </si>
  <si>
    <t xml:space="preserve">My rating 1-5</t>
  </si>
  <si>
    <t xml:space="preserve">Bucegi</t>
  </si>
  <si>
    <t xml:space="preserve">Poiana Stanii Regale loop</t>
  </si>
  <si>
    <t xml:space="preserve">ALL</t>
  </si>
  <si>
    <t xml:space="preserve">H</t>
  </si>
  <si>
    <t xml:space="preserve">Trail starts at the station. Best first hike.</t>
  </si>
  <si>
    <t xml:space="preserve">Poteca Regala - Stanca Franz Joseph</t>
  </si>
  <si>
    <t xml:space="preserve">Old royal path above the park.</t>
  </si>
  <si>
    <t xml:space="preserve">Cumpatu - Sfanta Ana forest loop</t>
  </si>
  <si>
    <t xml:space="preserve">M</t>
  </si>
  <si>
    <t xml:space="preserve">East bank of the Prahova, quiet.</t>
  </si>
  <si>
    <t xml:space="preserve">Valea Pelesului - Poiana Stanii</t>
  </si>
  <si>
    <t xml:space="preserve">Combine with the castle grounds.</t>
  </si>
  <si>
    <t xml:space="preserve">Piscul Cainelui</t>
  </si>
  <si>
    <t xml:space="preserve">APR-NOV</t>
  </si>
  <si>
    <t xml:space="preserve">Steady forest climb, few people.</t>
  </si>
  <si>
    <t xml:space="preserve">Cascada Vanturis via Izvorul Dorului</t>
  </si>
  <si>
    <t xml:space="preserve">MAY-OCT</t>
  </si>
  <si>
    <t xml:space="preserve">Waterfall turnaround point.</t>
  </si>
  <si>
    <t xml:space="preserve">Cota 1400 on foot (old road)</t>
  </si>
  <si>
    <t xml:space="preserve">Return by cable car if tired.</t>
  </si>
  <si>
    <t xml:space="preserve">Cota 1400 - Cota 2000 on foot</t>
  </si>
  <si>
    <t xml:space="preserve">JUN-OCT</t>
  </si>
  <si>
    <t xml:space="preserve">Above tree line at the top.</t>
  </si>
  <si>
    <t xml:space="preserve">Varful cu Dor via Valea Dorului</t>
  </si>
  <si>
    <t xml:space="preserve">Open ridge, wind exposed.</t>
  </si>
  <si>
    <t xml:space="preserve">Varful Furnica via Drumul de Vara</t>
  </si>
  <si>
    <t xml:space="preserve">Long steady gradient, no scrambling.</t>
  </si>
  <si>
    <t xml:space="preserve">Piatra Arsa via Drumul de Vara</t>
  </si>
  <si>
    <t xml:space="preserve">Cabana at the top, water available.</t>
  </si>
  <si>
    <t xml:space="preserve">Saua Varfului cu Dor - Izvorul Dorului loop</t>
  </si>
  <si>
    <t xml:space="preserve">Loop back down the valley.</t>
  </si>
  <si>
    <t xml:space="preserve">Poiana Stanii - Furnica - Cota 1400 loop</t>
  </si>
  <si>
    <t xml:space="preserve">Full circuit from the station.</t>
  </si>
  <si>
    <t xml:space="preserve">Dichiu - Izvorul Dorului old path</t>
  </si>
  <si>
    <t xml:space="preserve">V</t>
  </si>
  <si>
    <t xml:space="preserve">Little walked. Check the marking.</t>
  </si>
  <si>
    <t xml:space="preserve">Valea Rea forest valley</t>
  </si>
  <si>
    <t xml:space="preserve">Old forestry track, almost empty.</t>
  </si>
  <si>
    <t xml:space="preserve">Furnica - Babele - Pestera</t>
  </si>
  <si>
    <t xml:space="preserve">Plateau crossing. Return by cable car or bus.</t>
  </si>
  <si>
    <t xml:space="preserve">Piatra Arsa - Jepii Mari - Busteni</t>
  </si>
  <si>
    <t xml:space="preserve">Hard 1400 m descent. Poles needed.</t>
  </si>
  <si>
    <t xml:space="preserve">Piscul Cainelui - Poiana Reginei loop</t>
  </si>
  <si>
    <t xml:space="preserve">Quiet forest circuit.</t>
  </si>
  <si>
    <t xml:space="preserve">Manastirea Sinaia - Poiana Stanii - Cota 1400</t>
  </si>
  <si>
    <t xml:space="preserve">Good bad-weather option, in the trees.</t>
  </si>
  <si>
    <t xml:space="preserve">Cota 2000 - Furnica - Varful cu Dor loop</t>
  </si>
  <si>
    <t xml:space="preserve">Big day entirely on foot.</t>
  </si>
  <si>
    <t xml:space="preserve">Baiului</t>
  </si>
  <si>
    <t xml:space="preserve">Muntele Paduchiosul - Varful Zamora</t>
  </si>
  <si>
    <t xml:space="preserve">East side of the valley. Very quiet.</t>
  </si>
  <si>
    <t xml:space="preserve">Sinaia - Baiului traverse - Azuga</t>
  </si>
  <si>
    <t xml:space="preserve">Full ridge traverse, about 9 h.</t>
  </si>
  <si>
    <t xml:space="preserve">Paduchiosul - Varful Baiu Mic</t>
  </si>
  <si>
    <t xml:space="preserve">No water on the ridge.</t>
  </si>
  <si>
    <t xml:space="preserve">Cascada Urlatoarea</t>
  </si>
  <si>
    <t xml:space="preserve">Busy at weekends. Go early.</t>
  </si>
  <si>
    <t xml:space="preserve">Castelul Cantacuzino - Zamora loop</t>
  </si>
  <si>
    <t xml:space="preserve">Easy half day.</t>
  </si>
  <si>
    <t xml:space="preserve">Poiana Tapului - Urlatoarea loop</t>
  </si>
  <si>
    <t xml:space="preserve">Quieter approach to the waterfall.</t>
  </si>
  <si>
    <t xml:space="preserve">Gura Diham - Cabana Diham</t>
  </si>
  <si>
    <t xml:space="preserve">Forest road most of the way.</t>
  </si>
  <si>
    <t xml:space="preserve">Gura Diham - Poiana Izvoarelor - Diham loop</t>
  </si>
  <si>
    <t xml:space="preserve">Two cabanas on the circuit.</t>
  </si>
  <si>
    <t xml:space="preserve">Valea Cerbului - Poiana Costilei</t>
  </si>
  <si>
    <t xml:space="preserve">Turn back at the clearing.</t>
  </si>
  <si>
    <t xml:space="preserve">Valea Cerbului - Varful Omu</t>
  </si>
  <si>
    <t xml:space="preserve">JUL-SEP</t>
  </si>
  <si>
    <t xml:space="preserve">Very long day. Start before 07:00.</t>
  </si>
  <si>
    <t xml:space="preserve">Jepii Mici - Cabana Caraiman</t>
  </si>
  <si>
    <t xml:space="preserve">Steep, cables in places.</t>
  </si>
  <si>
    <t xml:space="preserve">Jepii Mici - Caraiman - Babele</t>
  </si>
  <si>
    <t xml:space="preserve">Return by cable car from Babele.</t>
  </si>
  <si>
    <t xml:space="preserve">Jepii Mari - Piatra Arsa</t>
  </si>
  <si>
    <t xml:space="preserve">Longer and less steep than Jepii Mici.</t>
  </si>
  <si>
    <t xml:space="preserve">Valea Jepilor - Babele</t>
  </si>
  <si>
    <t xml:space="preserve">Ladders and cables. Check if the route is open.</t>
  </si>
  <si>
    <t xml:space="preserve">Crucea Caraiman via Jepii Mici</t>
  </si>
  <si>
    <t xml:space="preserve">The monument. Crowded in summer.</t>
  </si>
  <si>
    <t xml:space="preserve">Braul lui Raducu</t>
  </si>
  <si>
    <t xml:space="preserve">Alpine traverse, not a walking path.</t>
  </si>
  <si>
    <t xml:space="preserve">Valea Alba - Costila</t>
  </si>
  <si>
    <t xml:space="preserve">Scree and exposed sections. Helmet.</t>
  </si>
  <si>
    <t xml:space="preserve">Varful Bucsoiu Mare via Valea Cerbului</t>
  </si>
  <si>
    <t xml:space="preserve">Technical ridge. Not a fitness hike.</t>
  </si>
  <si>
    <t xml:space="preserve">Varful Diham (1580)</t>
  </si>
  <si>
    <t xml:space="preserve">Good viewpoint, easy terrain.</t>
  </si>
  <si>
    <t xml:space="preserve">Poiana Izvoarelor - Pichetul Rosu - Malaiesti</t>
  </si>
  <si>
    <t xml:space="preserve">Overnight at Cabana Malaiesti.</t>
  </si>
  <si>
    <t xml:space="preserve">Pichetul Rosu - Varful Omu</t>
  </si>
  <si>
    <t xml:space="preserve">Longer but gentler than Valea Cerbului.</t>
  </si>
  <si>
    <t xml:space="preserve">Zamora ridge to Azuga</t>
  </si>
  <si>
    <t xml:space="preserve">Low ridge, good in spring.</t>
  </si>
  <si>
    <t xml:space="preserve">Urlatoarea - Poiana Tapului - Sinaia</t>
  </si>
  <si>
    <t xml:space="preserve">Station to station, low level.</t>
  </si>
  <si>
    <t xml:space="preserve">Valea Priporului</t>
  </si>
  <si>
    <t xml:space="preserve">Old forestry valley. Verify the marking.</t>
  </si>
  <si>
    <t xml:space="preserve">Valea Azugii forest walk</t>
  </si>
  <si>
    <t xml:space="preserve">Flat valley, good winter option.</t>
  </si>
  <si>
    <t xml:space="preserve">Clabucetul Azugii</t>
  </si>
  <si>
    <t xml:space="preserve">Short climb, open top.</t>
  </si>
  <si>
    <t xml:space="preserve">Cabana Susai</t>
  </si>
  <si>
    <t xml:space="preserve">About 3 h up by the local description.</t>
  </si>
  <si>
    <t xml:space="preserve">Varful Cazacu (1753)</t>
  </si>
  <si>
    <t xml:space="preserve">First real ridge summit from Azuga.</t>
  </si>
  <si>
    <t xml:space="preserve">Valea Grecului - Saua Baiului - Diham</t>
  </si>
  <si>
    <t xml:space="preserve">Route starts at the station.</t>
  </si>
  <si>
    <t xml:space="preserve">Azuga - Diham - Busteni</t>
  </si>
  <si>
    <t xml:space="preserve">Station to station, no backtrack.</t>
  </si>
  <si>
    <t xml:space="preserve">Varful Unghia Mare (1846)</t>
  </si>
  <si>
    <t xml:space="preserve">Open ridge. Carry all water.</t>
  </si>
  <si>
    <t xml:space="preserve">Varful Baiu Mare (1895)</t>
  </si>
  <si>
    <t xml:space="preserve">Highest point of the Baiului ridge.</t>
  </si>
  <si>
    <t xml:space="preserve">Varful Neamtu</t>
  </si>
  <si>
    <t xml:space="preserve">Rarely walked side summit.</t>
  </si>
  <si>
    <t xml:space="preserve">Sorica - Garbova ridge</t>
  </si>
  <si>
    <t xml:space="preserve">Ski area at the start, empty after.</t>
  </si>
  <si>
    <t xml:space="preserve">Clabucetul Taurului to Predeal</t>
  </si>
  <si>
    <t xml:space="preserve">Graded medium to difficult locally.</t>
  </si>
  <si>
    <t xml:space="preserve">Azuga - Baiului traverse - Sinaia</t>
  </si>
  <si>
    <t xml:space="preserve">About 9 h. Late-stage target.</t>
  </si>
  <si>
    <t xml:space="preserve">Varful Paduchiosul</t>
  </si>
  <si>
    <t xml:space="preserve">Quiet approach to the ridge.</t>
  </si>
  <si>
    <t xml:space="preserve">Cazacu - Baiu Mare loop</t>
  </si>
  <si>
    <t xml:space="preserve">Ridge out, valley back.</t>
  </si>
  <si>
    <t xml:space="preserve">Valea Cazacia</t>
  </si>
  <si>
    <t xml:space="preserve">Short quiet valley. Verify the marking.</t>
  </si>
  <si>
    <t xml:space="preserve">Varful Zamora from Azuga</t>
  </si>
  <si>
    <t xml:space="preserve">Finish at Busteni station.</t>
  </si>
  <si>
    <t xml:space="preserve">Clabucetul Plecare</t>
  </si>
  <si>
    <t xml:space="preserve">Ridge reached about 20 min from the station.</t>
  </si>
  <si>
    <t xml:space="preserve">Cioplea - Trei Brazi loop</t>
  </si>
  <si>
    <t xml:space="preserve">Good winter walk.</t>
  </si>
  <si>
    <t xml:space="preserve">Trei Brazi - Paraul Rece</t>
  </si>
  <si>
    <t xml:space="preserve">Low forest crossing between two lines.</t>
  </si>
  <si>
    <t xml:space="preserve">Clabucetul Taurului - Azuga</t>
  </si>
  <si>
    <t xml:space="preserve">About 3 to 3.5 h. Good progression step.</t>
  </si>
  <si>
    <t xml:space="preserve">Predeal - Baiului ridge - Azuga</t>
  </si>
  <si>
    <t xml:space="preserve">The main ridge day. About 6 h.</t>
  </si>
  <si>
    <t xml:space="preserve">Varful Fitifoi</t>
  </si>
  <si>
    <t xml:space="preserve">Quiet summit above Predeal.</t>
  </si>
  <si>
    <t xml:space="preserve">Cabana Susai from Predeal</t>
  </si>
  <si>
    <t xml:space="preserve">Descend to Azuga station.</t>
  </si>
  <si>
    <t xml:space="preserve">Persani</t>
  </si>
  <si>
    <t xml:space="preserve">Trei Brazi - Cheile Rasnoavei</t>
  </si>
  <si>
    <t xml:space="preserve">Documented approach to the gorge.</t>
  </si>
  <si>
    <t xml:space="preserve">Paraul Rece - Poiana Izvoarelor - Diham</t>
  </si>
  <si>
    <t xml:space="preserve">Long link route. Check the markings.</t>
  </si>
  <si>
    <t xml:space="preserve">Clabucetul Baiului - Unghia Mare</t>
  </si>
  <si>
    <t xml:space="preserve">Out and back on the empty ridge.</t>
  </si>
  <si>
    <t xml:space="preserve">Poiana Secuilor - Cioplea quiet loop</t>
  </si>
  <si>
    <t xml:space="preserve">Local paths, few walkers.</t>
  </si>
  <si>
    <t xml:space="preserve">Piatra Mare</t>
  </si>
  <si>
    <t xml:space="preserve">Dambul Morii - Cascada Tamina</t>
  </si>
  <si>
    <t xml:space="preserve">Waterfall in the forest.</t>
  </si>
  <si>
    <t xml:space="preserve">Sapte Scari canyon</t>
  </si>
  <si>
    <t xml:space="preserve">Metal ladders, slippery when wet. Fee.</t>
  </si>
  <si>
    <t xml:space="preserve">Sapte Scari - Cabana Piatra Mare</t>
  </si>
  <si>
    <t xml:space="preserve">3 h 20 to 3 h 50 by the usual estimate.</t>
  </si>
  <si>
    <t xml:space="preserve">Varful Piatra Mare (1843)</t>
  </si>
  <si>
    <t xml:space="preserve">Rocky plateau at the top.</t>
  </si>
  <si>
    <t xml:space="preserve">Pestera de Gheata</t>
  </si>
  <si>
    <t xml:space="preserve">Ice cave below the summit.</t>
  </si>
  <si>
    <t xml:space="preserve">Piatra Mare traverse to Darste</t>
  </si>
  <si>
    <t xml:space="preserve">North descent, station to station.</t>
  </si>
  <si>
    <t xml:space="preserve">Valea Timisului forest loop</t>
  </si>
  <si>
    <t xml:space="preserve">Flat valley walk for a rest week.</t>
  </si>
  <si>
    <t xml:space="preserve">Cheile Rasnoavei from Timisu de Sus</t>
  </si>
  <si>
    <t xml:space="preserve">Marked route into the gorge.</t>
  </si>
  <si>
    <t xml:space="preserve">Postavaru</t>
  </si>
  <si>
    <t xml:space="preserve">Cabana Postavarul from Timisu de Sus</t>
  </si>
  <si>
    <t xml:space="preserve">Quiet south approach. Verify the marking.</t>
  </si>
  <si>
    <t xml:space="preserve">Cristianul Mare (1799) from Timisu de Sus</t>
  </si>
  <si>
    <t xml:space="preserve">Return by cable car to Poiana Brasov.</t>
  </si>
  <si>
    <t xml:space="preserve">Darste - Cabana Piatra Mare</t>
  </si>
  <si>
    <t xml:space="preserve">North approach, little used.</t>
  </si>
  <si>
    <t xml:space="preserve">Sacele (Bunloc) - Varful Piatra Mare</t>
  </si>
  <si>
    <t xml:space="preserve">East approach. Few trains to Sacele.</t>
  </si>
  <si>
    <t xml:space="preserve">Valea Garcinului forest walk</t>
  </si>
  <si>
    <t xml:space="preserve">Long flat valley, almost empty.</t>
  </si>
  <si>
    <t xml:space="preserve">Tampa via the serpentines</t>
  </si>
  <si>
    <t xml:space="preserve">Steep but short. Cable car down.</t>
  </si>
  <si>
    <t xml:space="preserve">Tampa - Dealul Melcilor loop</t>
  </si>
  <si>
    <t xml:space="preserve">Quieter back side of Tampa.</t>
  </si>
  <si>
    <t xml:space="preserve">Pietrele lui Solomon - Faleza Junilor</t>
  </si>
  <si>
    <t xml:space="preserve">Beginner climbing crag, 15 min from the rocks.</t>
  </si>
  <si>
    <t xml:space="preserve">Drumul Rosu to Poiana Brasov</t>
  </si>
  <si>
    <t xml:space="preserve">Wide forest road, bus back.</t>
  </si>
  <si>
    <t xml:space="preserve">Poiana Brasov - Cristianul Mare</t>
  </si>
  <si>
    <t xml:space="preserve">The standard Postavaru day.</t>
  </si>
  <si>
    <t xml:space="preserve">Valea Racadau - Varful Postavaru</t>
  </si>
  <si>
    <t xml:space="preserve">Direct climb from the city edge.</t>
  </si>
  <si>
    <t xml:space="preserve">Stejeris - Warthe ridge</t>
  </si>
  <si>
    <t xml:space="preserve">City forest, good in bad weather.</t>
  </si>
  <si>
    <t xml:space="preserve">Cetatuia - Dealul Melcilor easy loop</t>
  </si>
  <si>
    <t xml:space="preserve">Recovery-day walk.</t>
  </si>
  <si>
    <t xml:space="preserve">Schei - Solomon - Poiana Brasov</t>
  </si>
  <si>
    <t xml:space="preserve">Through the old quarter.</t>
  </si>
  <si>
    <t xml:space="preserve">Muchia Cheii - Postavaru old route</t>
  </si>
  <si>
    <t xml:space="preserve">Rocky old line. Verify before you go.</t>
  </si>
  <si>
    <t xml:space="preserve">Cetatea Rasnov - Valea Cetatii cave</t>
  </si>
  <si>
    <t xml:space="preserve">Fortress, cave, short walk.</t>
  </si>
  <si>
    <t xml:space="preserve">Cheile Rasnoavei</t>
  </si>
  <si>
    <t xml:space="preserve">Gorge floor walk below the climbing sectors.</t>
  </si>
  <si>
    <t xml:space="preserve">Cheile Rasnoavei via ferrata</t>
  </si>
  <si>
    <t xml:space="preserve">Grade D. Cable is old and below the 10 mm standard.</t>
  </si>
  <si>
    <t xml:space="preserve">Cheile Rasnoavei scrambling sectors</t>
  </si>
  <si>
    <t xml:space="preserve">Hands on rock without a rope.</t>
  </si>
  <si>
    <t xml:space="preserve">Valea Cetatii - Varful Postavaru</t>
  </si>
  <si>
    <t xml:space="preserve">Quiet west approach.</t>
  </si>
  <si>
    <t xml:space="preserve">Valea Glajeriei - Cabana Malaiesti</t>
  </si>
  <si>
    <t xml:space="preserve">North side of Bucegi. Overnight option.</t>
  </si>
  <si>
    <t xml:space="preserve">Malaiesti - Hornuri - Varful Omu</t>
  </si>
  <si>
    <t xml:space="preserve">Two-day route. Cables in the Hornuri.</t>
  </si>
  <si>
    <t xml:space="preserve">Varful Bucsoiu Mare via Malaiesti</t>
  </si>
  <si>
    <t xml:space="preserve">Exposed ridge. Two days.</t>
  </si>
  <si>
    <t xml:space="preserve">Rasnov - Trei Brazi - Predeal</t>
  </si>
  <si>
    <t xml:space="preserve">Low crossing between the two valleys.</t>
  </si>
  <si>
    <t xml:space="preserve">Rasnov - Poiana Brasov</t>
  </si>
  <si>
    <t xml:space="preserve">Bus down from Poiana to Brasov.</t>
  </si>
  <si>
    <t xml:space="preserve">Piatra Craiului</t>
  </si>
  <si>
    <t xml:space="preserve">Prapastiile Zarnestiului - Cabana Curmatura</t>
  </si>
  <si>
    <t xml:space="preserve">The classic. 40 min walk to the gorge.</t>
  </si>
  <si>
    <t xml:space="preserve">Curmatura - Saua Crapaturii loop</t>
  </si>
  <si>
    <t xml:space="preserve">Loop instead of the same way back.</t>
  </si>
  <si>
    <t xml:space="preserve">Piatra Mica (1816)</t>
  </si>
  <si>
    <t xml:space="preserve">Short cabled sections near the top.</t>
  </si>
  <si>
    <t xml:space="preserve">Varful Turnu (1923)</t>
  </si>
  <si>
    <t xml:space="preserve">North end of the ridge.</t>
  </si>
  <si>
    <t xml:space="preserve">Varful Ascutit via La Lanturi</t>
  </si>
  <si>
    <t xml:space="preserve">Cables and exposure. Helmet.</t>
  </si>
  <si>
    <t xml:space="preserve">Zarnesti - Cabana Plaiul Foii</t>
  </si>
  <si>
    <t xml:space="preserve">Valley road. Flat training walk.</t>
  </si>
  <si>
    <t xml:space="preserve">Plaiul Foii - Saua Grindului</t>
  </si>
  <si>
    <t xml:space="preserve">West face approach. Serious terrain.</t>
  </si>
  <si>
    <t xml:space="preserve">Vladusca</t>
  </si>
  <si>
    <t xml:space="preserve">Quiet alternative to the Prapastii.</t>
  </si>
  <si>
    <t xml:space="preserve">Coltii Chiliilor</t>
  </si>
  <si>
    <t xml:space="preserve">Old route, little walked.</t>
  </si>
  <si>
    <t xml:space="preserve">Brana Caprelor traverse</t>
  </si>
  <si>
    <t xml:space="preserve">Alpine traverse. Not for a first season.</t>
  </si>
  <si>
    <t xml:space="preserve">Curmatura - ridge - Plaiul Foii</t>
  </si>
  <si>
    <t xml:space="preserve">Two days. The full ridge.</t>
  </si>
  <si>
    <t xml:space="preserve">Magura village loop</t>
  </si>
  <si>
    <t xml:space="preserve">Villages and meadows, no exposure.</t>
  </si>
  <si>
    <t xml:space="preserve">Gura Raului - Padina Popii - Curmatura</t>
  </si>
  <si>
    <t xml:space="preserve">Second way up to the cabana.</t>
  </si>
  <si>
    <t xml:space="preserve">Turnu - Padina Popii loop</t>
  </si>
  <si>
    <t xml:space="preserve">Full north circuit.</t>
  </si>
  <si>
    <t xml:space="preserve">Piatra Mica - Curmatura loop</t>
  </si>
  <si>
    <t xml:space="preserve">Both summits in one day.</t>
  </si>
  <si>
    <t xml:space="preserve">Prapastii in winter (snowshoes)</t>
  </si>
  <si>
    <t xml:space="preserve">WINTER</t>
  </si>
  <si>
    <t xml:space="preserve">Avalanche risk above the gorge. Check the bulletin.</t>
  </si>
  <si>
    <t xml:space="preserve">Padina lui Calinet climbing approach</t>
  </si>
  <si>
    <t xml:space="preserve">Approach of 3 to 4 h before any climbing.</t>
  </si>
  <si>
    <t xml:space="preserve">Ciucas</t>
  </si>
  <si>
    <t xml:space="preserve">Cheia - Muntele Rosu - Varful Ciucas</t>
  </si>
  <si>
    <t xml:space="preserve">Bus Maneciu to Cheia. Rock towers on top.</t>
  </si>
  <si>
    <t xml:space="preserve">Cheia - Tigaile Mari - Bratocea</t>
  </si>
  <si>
    <t xml:space="preserve">The rock formations of Ciucas.</t>
  </si>
  <si>
    <t xml:space="preserve">Cheia - Zaganu - Gropsoarele</t>
  </si>
  <si>
    <t xml:space="preserve">Long open ridge, no shade.</t>
  </si>
  <si>
    <t xml:space="preserve">Cheia - Cabana Ciucas - Saua Tigailor loop</t>
  </si>
  <si>
    <t xml:space="preserve">Circuit rather than out and back.</t>
  </si>
  <si>
    <t xml:space="preserve">Zaganu - Gropsoarele full loop</t>
  </si>
  <si>
    <t xml:space="preserve">Big day. Check the last bus back.</t>
  </si>
  <si>
    <t xml:space="preserve">Lacul Maneciu tour</t>
  </si>
  <si>
    <t xml:space="preserve">Flat. Good winter or recovery day.</t>
  </si>
  <si>
    <t xml:space="preserve">Valea Teleajenului forest walk</t>
  </si>
  <si>
    <t xml:space="preserve">Straight from the station.</t>
  </si>
  <si>
    <t xml:space="preserve">Valenii de Munte hill circuit</t>
  </si>
  <si>
    <t xml:space="preserve">Sub-mountain hills. Verify on a map.</t>
  </si>
  <si>
    <t xml:space="preserve">Slanic</t>
  </si>
  <si>
    <t xml:space="preserve">Muntele de Sare - Grota Miresei</t>
  </si>
  <si>
    <t xml:space="preserve">Salt mountain. Short and odd-looking.</t>
  </si>
  <si>
    <t xml:space="preserve">Piatra Verde loop</t>
  </si>
  <si>
    <t xml:space="preserve">Low hills above the town.</t>
  </si>
  <si>
    <t xml:space="preserve">Slanic forest hills long loop</t>
  </si>
  <si>
    <t xml:space="preserve">Build hours without altitude.</t>
  </si>
  <si>
    <t xml:space="preserve">Prahova hills</t>
  </si>
  <si>
    <t xml:space="preserve">Campina - Valea Doftanei flat walk</t>
  </si>
  <si>
    <t xml:space="preserve">Nearly flat. Good for a 4 h base day.</t>
  </si>
  <si>
    <t xml:space="preserve">Muscelul Campinei hills</t>
  </si>
  <si>
    <t xml:space="preserve">Local paths. Verify on a map.</t>
  </si>
  <si>
    <t xml:space="preserve">Breaza terraces loop</t>
  </si>
  <si>
    <t xml:space="preserve">Breaza</t>
  </si>
  <si>
    <t xml:space="preserve">Open hillsides, wide views of Bucegi.</t>
  </si>
  <si>
    <t xml:space="preserve">Comarnic - Secaria hills</t>
  </si>
  <si>
    <t xml:space="preserve">Very few walkers. Verify the route.</t>
  </si>
  <si>
    <t xml:space="preserve">Posada - old Prahova road</t>
  </si>
  <si>
    <t xml:space="preserve">Halt with few trains. Check the timetable.</t>
  </si>
  <si>
    <t xml:space="preserve">Bucegi west</t>
  </si>
  <si>
    <t xml:space="preserve">Pietrosita - Valea Ialomitei to Moroeni</t>
  </si>
  <si>
    <t xml:space="preserve">Flat valley. Train service needs checking.</t>
  </si>
  <si>
    <t xml:space="preserve">Leaota</t>
  </si>
  <si>
    <t xml:space="preserve">Pietrosita - Cheile Orzei</t>
  </si>
  <si>
    <t xml:space="preserve">Small gorge, little visited.</t>
  </si>
  <si>
    <t xml:space="preserve">Varful Leaota (2133)</t>
  </si>
  <si>
    <t xml:space="preserve">Needs a bus to the trailhead. Long day.</t>
  </si>
  <si>
    <t xml:space="preserve">Padina - Pestera plateau walk</t>
  </si>
  <si>
    <t xml:space="preserve">Bus up the Ialomita valley first.</t>
  </si>
  <si>
    <t xml:space="preserve">Cheile Tatarului and Cheile Zanoagei</t>
  </si>
  <si>
    <t xml:space="preserve">Two gorges in one walk.</t>
  </si>
  <si>
    <t xml:space="preserve">Babele - Varful Omu</t>
  </si>
  <si>
    <t xml:space="preserve">Plateau segment. Reach Babele first.</t>
  </si>
  <si>
    <t xml:space="preserve">Babele - Pestera - Padina</t>
  </si>
  <si>
    <t xml:space="preserve">Mostly descent into the Ialomita valley.</t>
  </si>
  <si>
    <t xml:space="preserve">Pestera - Cheile Horoabei - Cocora</t>
  </si>
  <si>
    <t xml:space="preserve">Narrow gorge above the monastery.</t>
  </si>
  <si>
    <t xml:space="preserve">Pestera - Varful Laptici - Varful cu Dor</t>
  </si>
  <si>
    <t xml:space="preserve">Plateau crossing, ends above Sinaia.</t>
  </si>
  <si>
    <t xml:space="preserve">Omu - Valea Malaiesti - Cabana Malaiesti</t>
  </si>
  <si>
    <t xml:space="preserve">1100 m of descent. Cables in the Hornuri.</t>
  </si>
  <si>
    <t xml:space="preserve">Omu - Bucsoiu ridge - Malaiesti</t>
  </si>
  <si>
    <t xml:space="preserve">Exposed. Only in good weather.</t>
  </si>
  <si>
    <t xml:space="preserve">Omu - Valea Gaura - Padina Crucii</t>
  </si>
  <si>
    <t xml:space="preserve">Wild north valley with a waterfall.</t>
  </si>
  <si>
    <t xml:space="preserve">Piatra Arsa - Babele</t>
  </si>
  <si>
    <t xml:space="preserve">Easy plateau link on a road.</t>
  </si>
  <si>
    <t xml:space="preserve">Padina - Varful Obarsia - Omu</t>
  </si>
  <si>
    <t xml:space="preserve">West approach to the highest point.</t>
  </si>
  <si>
    <t xml:space="preserve">Pestera - Cheile Ursilor - Doamnele</t>
  </si>
  <si>
    <t xml:space="preserve">Quiet gorge system. Verify access.</t>
  </si>
  <si>
    <t xml:space="preserve">Intorsurii</t>
  </si>
  <si>
    <t xml:space="preserve">Clabucetele Intorsurii</t>
  </si>
  <si>
    <t xml:space="preserve">Low quiet hills. Very few trains.</t>
  </si>
  <si>
    <t xml:space="preserve">Siriu</t>
  </si>
  <si>
    <t xml:space="preserve">Lacul Vulturilor</t>
  </si>
  <si>
    <t xml:space="preserve">VERIFY the train first. Bus from Nehoiu.</t>
  </si>
  <si>
    <t xml:space="preserve">Varful Malaia (1663)</t>
  </si>
  <si>
    <t xml:space="preserve">Long day if the train runs.</t>
  </si>
  <si>
    <t xml:space="preserve">Cascada Balbaitoarea</t>
  </si>
  <si>
    <t xml:space="preserve">Short walk to the waterfall.</t>
  </si>
  <si>
    <t xml:space="preserve">Magura Codlei (1292)</t>
  </si>
  <si>
    <t xml:space="preserve">Isolated peak above the town. Empty.</t>
  </si>
  <si>
    <t xml:space="preserve">Codlea - Cetatea Neagra forest loop</t>
  </si>
  <si>
    <t xml:space="preserve">Short hill circuit.</t>
  </si>
  <si>
    <t xml:space="preserve">Vladeni - Persani hills</t>
  </si>
  <si>
    <t xml:space="preserve">Little documented. Map required.</t>
  </si>
  <si>
    <t xml:space="preserve">Fagaras</t>
  </si>
  <si>
    <t xml:space="preserve">Ucea - Victoria - Cabana Turnuri</t>
  </si>
  <si>
    <t xml:space="preserve">Bus to Victoria. Overnight at the cabana.</t>
  </si>
  <si>
    <t xml:space="preserve">Valea Doamnei - Balea Lac</t>
  </si>
  <si>
    <t xml:space="preserve">Two days. High mountain weather.</t>
  </si>
  <si>
    <t xml:space="preserve">Porumbacu - Cabana Negoiu</t>
  </si>
  <si>
    <t xml:space="preserve">Base for Negoiu. Two days.</t>
  </si>
  <si>
    <t xml:space="preserve">Avrig - Lacul Avrig - Varful Suru</t>
  </si>
  <si>
    <t xml:space="preserve">Quiet west end of Fagaras. Two days.</t>
  </si>
  <si>
    <t xml:space="preserve">Bucharest area</t>
  </si>
  <si>
    <t xml:space="preserve">Comana natural park loop</t>
  </si>
  <si>
    <t xml:space="preserve">One hour by train. Flat, all year.</t>
  </si>
  <si>
    <t xml:space="preserve">Comana - Padina Tatarului long loop</t>
  </si>
  <si>
    <t xml:space="preserve">Use this to build 4 h on your feet.</t>
  </si>
  <si>
    <t xml:space="preserve">Mogosoaia lake circuit</t>
  </si>
  <si>
    <t xml:space="preserve">Halt service needs checking.</t>
  </si>
  <si>
    <t xml:space="preserve">Buftea lake and forest</t>
  </si>
  <si>
    <t xml:space="preserve">Short train, flat ground.</t>
  </si>
  <si>
    <t xml:space="preserve">Sinaia - Cota 1400 - Piatra Arsa - Babele</t>
  </si>
  <si>
    <t xml:space="preserve">Long plateau day, cable car down.</t>
  </si>
  <si>
    <t xml:space="preserve">Busteni - Babele - Pestera - Padina</t>
  </si>
  <si>
    <t xml:space="preserve">Crosses the massif west. Two days is safer.</t>
  </si>
  <si>
    <t xml:space="preserve">Diham - Pichetul Rosu - Malaiesti</t>
  </si>
  <si>
    <t xml:space="preserve">North crossing, two stations.</t>
  </si>
  <si>
    <t xml:space="preserve">Azuga - Susai - Clabucet - Predeal</t>
  </si>
  <si>
    <t xml:space="preserve">Two summits between two stations.</t>
  </si>
  <si>
    <t xml:space="preserve">Predeal - Fitifoi - Garbova ridge - Azuga</t>
  </si>
  <si>
    <t xml:space="preserve">Long quiet ridge alternative.</t>
  </si>
  <si>
    <t xml:space="preserve">Sinaia - Vanturis - Saua Varfului cu Dor</t>
  </si>
  <si>
    <t xml:space="preserve">Waterfall then the ridge above it.</t>
  </si>
  <si>
    <t xml:space="preserve">Busteni - Urlatoarea - Jepii Mari - Piatra Arsa</t>
  </si>
  <si>
    <t xml:space="preserve">Combines the easy and the steep.</t>
  </si>
  <si>
    <t xml:space="preserve">Sapte Scari - Piatra Mare - Sapte Scari loop</t>
  </si>
  <si>
    <t xml:space="preserve">Ladders up, forest road down.</t>
  </si>
  <si>
    <t xml:space="preserve">Poiana Brasov - Postavaru - Rasnov</t>
  </si>
  <si>
    <t xml:space="preserve">Over the top, down to the fortress.</t>
  </si>
  <si>
    <t xml:space="preserve">Zarnesti - Curmatura - Piatra Mica - Magura</t>
  </si>
  <si>
    <t xml:space="preserve">Ridge and village in one day.</t>
  </si>
  <si>
    <t xml:space="preserve">Cheia - Bratocea - Muntele Rosu loop</t>
  </si>
  <si>
    <t xml:space="preserve">Full circuit of the main summits.</t>
  </si>
  <si>
    <t xml:space="preserve">Omu - Valea Cerbului - Busteni (descent day)</t>
  </si>
  <si>
    <t xml:space="preserve">Day 2 descent after a night at Omu.</t>
  </si>
  <si>
    <t xml:space="preserve">Malaiesti - Valea Glajeriei - Rasnov (descent day)</t>
  </si>
  <si>
    <t xml:space="preserve">Day 2 descent after Malaiesti.</t>
  </si>
  <si>
    <t xml:space="preserve">Sinaia - Zamora - Busteni low ridge</t>
  </si>
  <si>
    <t xml:space="preserve">Shoulder-season ridge below the snow line.</t>
  </si>
  <si>
    <t xml:space="preserve">Timisu de Jos - Piatra Mare - Sacele</t>
  </si>
  <si>
    <t xml:space="preserve">East descent. Check the Sacele trains.</t>
  </si>
  <si>
    <t xml:space="preserve">Brasov - Tampa - Poiana Brasov - Postavaru</t>
  </si>
  <si>
    <t xml:space="preserve">Everything on foot from the station.</t>
  </si>
  <si>
    <t xml:space="preserve">Rasnov - Cheile Rasnoavei - Predeal</t>
  </si>
  <si>
    <t xml:space="preserve">Gorge plus the forest crossing.</t>
  </si>
  <si>
    <t xml:space="preserve">Plaiul Foii - Curmatura Foii - Zarnesti</t>
  </si>
  <si>
    <t xml:space="preserve">Round the north end of the ridge.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</si>
</sst>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1EFC4"/>
          <bgColor rgb="FF000000"/>
        </patternFill>
      </fill>
    </dxf>
    <dxf>
      <fill>
        <patternFill patternType="solid">
          <fgColor rgb="FFDCEEBA"/>
          <bgColor rgb="FF000000"/>
        </patternFill>
      </fill>
    </dxf>
    <dxf>
      <fill>
        <patternFill patternType="solid">
          <fgColor rgb="FFE8EDB0"/>
          <bgColor rgb="FF000000"/>
        </patternFill>
      </fill>
    </dxf>
    <dxf>
      <fill>
        <patternFill patternType="solid">
          <fgColor rgb="FFF3ECA6"/>
          <bgColor rgb="FF000000"/>
        </patternFill>
      </fill>
    </dxf>
    <dxf>
      <fill>
        <patternFill patternType="solid">
          <fgColor rgb="FFFFD0C1"/>
          <bgColor rgb="FF000000"/>
        </patternFill>
      </fill>
    </dxf>
    <dxf>
      <fill>
        <patternFill patternType="solid">
          <fgColor rgb="FFFFD9B5"/>
          <bgColor rgb="FF000000"/>
        </patternFill>
      </fill>
    </dxf>
    <dxf>
      <fill>
        <patternFill patternType="solid">
          <fgColor rgb="FFFFE2A8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2" t="s">
        <v>34</v>
      </c>
      <c r="B42" s="2" t="n">
        <f aca="false">COUNTA(Routes!$C$2:$C$186)</f>
        <v>185</v>
      </c>
    </row>
    <row r="43" customFormat="false" ht="15" hidden="false" customHeight="false" outlineLevel="0" collapsed="false">
      <c r="A43" s="2" t="s">
        <v>35</v>
      </c>
      <c r="B43" s="2" t="n">
        <f aca="false">COUNTIF(Routes!$X$2:$X$186,1)</f>
        <v>25</v>
      </c>
    </row>
    <row r="44" customFormat="false" ht="15" hidden="false" customHeight="false" outlineLevel="0" collapsed="false">
      <c r="A44" s="2" t="s">
        <v>36</v>
      </c>
      <c r="B44" s="2" t="n">
        <f aca="false">COUNTIF(Routes!$X$2:$X$186,2)</f>
        <v>66</v>
      </c>
    </row>
    <row r="45" customFormat="false" ht="15" hidden="false" customHeight="false" outlineLevel="0" collapsed="false">
      <c r="A45" s="2" t="s">
        <v>37</v>
      </c>
      <c r="B45" s="2" t="n">
        <f aca="false">COUNTIF(Routes!$X$2:$X$186,3)</f>
        <v>75</v>
      </c>
    </row>
    <row r="46" customFormat="false" ht="15" hidden="false" customHeight="false" outlineLevel="0" collapsed="false">
      <c r="A46" s="2" t="s">
        <v>38</v>
      </c>
      <c r="B46" s="2" t="n">
        <f aca="false">COUNTIF(Routes!$X$2:$X$186,4)</f>
        <v>16</v>
      </c>
    </row>
    <row r="47" customFormat="false" ht="15" hidden="false" customHeight="false" outlineLevel="0" collapsed="false">
      <c r="A47" s="2" t="s">
        <v>39</v>
      </c>
      <c r="B47" s="2" t="n">
        <f aca="false">COUNTIF(Routes!$X$2:$X$186,5)</f>
        <v>3</v>
      </c>
    </row>
    <row r="48" customFormat="false" ht="15" hidden="false" customHeight="false" outlineLevel="0" collapsed="false">
      <c r="A48" s="2" t="s">
        <v>40</v>
      </c>
      <c r="B48" s="2" t="n">
        <f aca="false">COUNTIF(Routes!$N$2:$N$186,"&gt;=4")</f>
        <v>96</v>
      </c>
    </row>
    <row r="49" customFormat="false" ht="15" hidden="false" customHeight="false" outlineLevel="0" collapsed="false">
      <c r="A49" s="2" t="s">
        <v>41</v>
      </c>
      <c r="B49" s="2" t="n">
        <f aca="false">COUNTIF(Routes!$AE$2:$AE$186,"yes")</f>
        <v>0</v>
      </c>
    </row>
    <row r="50" customFormat="false" ht="15" hidden="false" customHeight="false" outlineLevel="0" collapsed="false">
      <c r="A50" s="2" t="s">
        <v>42</v>
      </c>
      <c r="B50" s="2" t="n">
        <f aca="false">COUNTA(Routes!$C$2:$C$186)-COUNTIF(Routes!$AE$2:$AE$186,"yes")</f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23.85" hidden="false" customHeight="false" outlineLevel="0" collapsed="false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</row>
    <row r="2" customFormat="false" ht="15" hidden="false" customHeight="false" outlineLevel="0" collapsed="false">
      <c r="A2" s="5" t="s">
        <v>48</v>
      </c>
      <c r="B2" s="6" t="n">
        <v>0</v>
      </c>
      <c r="C2" s="5" t="n">
        <v>0</v>
      </c>
      <c r="D2" s="5" t="s">
        <v>49</v>
      </c>
      <c r="E2" s="5" t="s">
        <v>50</v>
      </c>
    </row>
    <row r="3" customFormat="false" ht="15" hidden="false" customHeight="false" outlineLevel="0" collapsed="false">
      <c r="A3" s="5" t="s">
        <v>51</v>
      </c>
      <c r="B3" s="6" t="n">
        <v>1</v>
      </c>
      <c r="C3" s="5" t="n">
        <v>0</v>
      </c>
      <c r="D3" s="5" t="s">
        <v>52</v>
      </c>
      <c r="E3" s="5" t="s">
        <v>53</v>
      </c>
    </row>
    <row r="4" customFormat="false" ht="15" hidden="false" customHeight="false" outlineLevel="0" collapsed="false">
      <c r="A4" s="5" t="s">
        <v>54</v>
      </c>
      <c r="B4" s="6" t="n">
        <v>0.4</v>
      </c>
      <c r="C4" s="5" t="n">
        <v>0</v>
      </c>
      <c r="D4" s="5" t="s">
        <v>55</v>
      </c>
      <c r="E4" s="5" t="s">
        <v>56</v>
      </c>
    </row>
    <row r="5" customFormat="false" ht="15" hidden="false" customHeight="false" outlineLevel="0" collapsed="false">
      <c r="A5" s="5" t="s">
        <v>57</v>
      </c>
      <c r="B5" s="6" t="n">
        <v>0.6</v>
      </c>
      <c r="C5" s="5" t="n">
        <v>0</v>
      </c>
      <c r="D5" s="5" t="s">
        <v>58</v>
      </c>
      <c r="E5" s="5" t="s">
        <v>53</v>
      </c>
    </row>
    <row r="6" customFormat="false" ht="15" hidden="false" customHeight="false" outlineLevel="0" collapsed="false">
      <c r="A6" s="5" t="s">
        <v>59</v>
      </c>
      <c r="B6" s="6" t="n">
        <v>1.2</v>
      </c>
      <c r="C6" s="5" t="n">
        <v>0</v>
      </c>
      <c r="D6" s="5" t="s">
        <v>58</v>
      </c>
      <c r="E6" s="5" t="s">
        <v>60</v>
      </c>
    </row>
    <row r="7" customFormat="false" ht="15" hidden="false" customHeight="false" outlineLevel="0" collapsed="false">
      <c r="A7" s="5" t="s">
        <v>61</v>
      </c>
      <c r="B7" s="6" t="n">
        <v>1.5</v>
      </c>
      <c r="C7" s="5" t="n">
        <v>0</v>
      </c>
      <c r="D7" s="5" t="s">
        <v>58</v>
      </c>
      <c r="E7" s="5" t="s">
        <v>62</v>
      </c>
    </row>
    <row r="8" customFormat="false" ht="15" hidden="false" customHeight="false" outlineLevel="0" collapsed="false">
      <c r="A8" s="5" t="s">
        <v>63</v>
      </c>
      <c r="B8" s="6" t="n">
        <v>1.6</v>
      </c>
      <c r="C8" s="5" t="n">
        <v>0</v>
      </c>
      <c r="D8" s="5" t="s">
        <v>58</v>
      </c>
      <c r="E8" s="5" t="s">
        <v>64</v>
      </c>
    </row>
    <row r="9" customFormat="false" ht="15" hidden="false" customHeight="false" outlineLevel="0" collapsed="false">
      <c r="A9" s="5" t="s">
        <v>65</v>
      </c>
      <c r="B9" s="6" t="n">
        <v>1.6</v>
      </c>
      <c r="C9" s="5" t="n">
        <v>0</v>
      </c>
      <c r="D9" s="5" t="s">
        <v>58</v>
      </c>
      <c r="E9" s="5" t="s">
        <v>60</v>
      </c>
    </row>
    <row r="10" customFormat="false" ht="15" hidden="false" customHeight="false" outlineLevel="0" collapsed="false">
      <c r="A10" s="5" t="s">
        <v>66</v>
      </c>
      <c r="B10" s="6" t="n">
        <v>1.8</v>
      </c>
      <c r="C10" s="5" t="n">
        <v>0</v>
      </c>
      <c r="D10" s="5" t="s">
        <v>58</v>
      </c>
      <c r="E10" s="5" t="s">
        <v>60</v>
      </c>
    </row>
    <row r="11" customFormat="false" ht="15" hidden="false" customHeight="false" outlineLevel="0" collapsed="false">
      <c r="A11" s="5" t="s">
        <v>67</v>
      </c>
      <c r="B11" s="6" t="n">
        <v>1.9</v>
      </c>
      <c r="C11" s="5" t="n">
        <v>0</v>
      </c>
      <c r="D11" s="5" t="s">
        <v>58</v>
      </c>
      <c r="E11" s="5" t="s">
        <v>60</v>
      </c>
    </row>
    <row r="12" customFormat="false" ht="15" hidden="false" customHeight="false" outlineLevel="0" collapsed="false">
      <c r="A12" s="5" t="s">
        <v>68</v>
      </c>
      <c r="B12" s="6" t="n">
        <v>2</v>
      </c>
      <c r="C12" s="5" t="n">
        <v>0</v>
      </c>
      <c r="D12" s="5" t="s">
        <v>58</v>
      </c>
      <c r="E12" s="5" t="s">
        <v>60</v>
      </c>
    </row>
    <row r="13" customFormat="false" ht="15" hidden="false" customHeight="false" outlineLevel="0" collapsed="false">
      <c r="A13" s="5" t="s">
        <v>69</v>
      </c>
      <c r="B13" s="6" t="n">
        <v>2.2</v>
      </c>
      <c r="C13" s="5" t="n">
        <v>0</v>
      </c>
      <c r="D13" s="5" t="s">
        <v>58</v>
      </c>
      <c r="E13" s="5" t="s">
        <v>62</v>
      </c>
    </row>
    <row r="14" customFormat="false" ht="15" hidden="false" customHeight="false" outlineLevel="0" collapsed="false">
      <c r="A14" s="5" t="s">
        <v>70</v>
      </c>
      <c r="B14" s="6" t="n">
        <v>2.3</v>
      </c>
      <c r="C14" s="5" t="n">
        <v>0</v>
      </c>
      <c r="D14" s="5" t="s">
        <v>58</v>
      </c>
      <c r="E14" s="5" t="s">
        <v>62</v>
      </c>
    </row>
    <row r="15" customFormat="false" ht="15" hidden="false" customHeight="false" outlineLevel="0" collapsed="false">
      <c r="A15" s="5" t="s">
        <v>71</v>
      </c>
      <c r="B15" s="6" t="n">
        <v>2.4</v>
      </c>
      <c r="C15" s="5" t="n">
        <v>0</v>
      </c>
      <c r="D15" s="5" t="s">
        <v>58</v>
      </c>
      <c r="E15" s="5" t="s">
        <v>62</v>
      </c>
    </row>
    <row r="16" customFormat="false" ht="15" hidden="false" customHeight="false" outlineLevel="0" collapsed="false">
      <c r="A16" s="5" t="s">
        <v>72</v>
      </c>
      <c r="B16" s="6" t="n">
        <v>2.6</v>
      </c>
      <c r="C16" s="5" t="n">
        <v>0</v>
      </c>
      <c r="D16" s="5" t="s">
        <v>58</v>
      </c>
      <c r="E16" s="5" t="s">
        <v>60</v>
      </c>
    </row>
    <row r="17" customFormat="false" ht="15" hidden="false" customHeight="false" outlineLevel="0" collapsed="false">
      <c r="A17" s="5" t="s">
        <v>73</v>
      </c>
      <c r="B17" s="6" t="n">
        <v>3</v>
      </c>
      <c r="C17" s="5" t="n">
        <v>1</v>
      </c>
      <c r="D17" s="5" t="s">
        <v>74</v>
      </c>
      <c r="E17" s="5" t="s">
        <v>75</v>
      </c>
    </row>
    <row r="18" customFormat="false" ht="15" hidden="false" customHeight="false" outlineLevel="0" collapsed="false">
      <c r="A18" s="5" t="s">
        <v>76</v>
      </c>
      <c r="B18" s="6" t="n">
        <v>3.2</v>
      </c>
      <c r="C18" s="5" t="n">
        <v>1</v>
      </c>
      <c r="D18" s="5" t="s">
        <v>74</v>
      </c>
      <c r="E18" s="5" t="s">
        <v>77</v>
      </c>
    </row>
    <row r="19" customFormat="false" ht="15" hidden="false" customHeight="false" outlineLevel="0" collapsed="false">
      <c r="A19" s="5" t="s">
        <v>78</v>
      </c>
      <c r="B19" s="6" t="n">
        <v>3.1</v>
      </c>
      <c r="C19" s="5" t="n">
        <v>1</v>
      </c>
      <c r="D19" s="5" t="s">
        <v>79</v>
      </c>
      <c r="E19" s="5" t="s">
        <v>80</v>
      </c>
    </row>
    <row r="20" customFormat="false" ht="15" hidden="false" customHeight="false" outlineLevel="0" collapsed="false">
      <c r="A20" s="5" t="s">
        <v>81</v>
      </c>
      <c r="B20" s="6" t="n">
        <v>3.1</v>
      </c>
      <c r="C20" s="5" t="n">
        <v>1</v>
      </c>
      <c r="D20" s="5" t="s">
        <v>82</v>
      </c>
      <c r="E20" s="5" t="s">
        <v>75</v>
      </c>
    </row>
    <row r="21" customFormat="false" ht="15" hidden="false" customHeight="false" outlineLevel="0" collapsed="false">
      <c r="A21" s="5" t="s">
        <v>83</v>
      </c>
      <c r="B21" s="6" t="n">
        <v>3.4</v>
      </c>
      <c r="C21" s="5" t="n">
        <v>1</v>
      </c>
      <c r="D21" s="5" t="s">
        <v>82</v>
      </c>
      <c r="E21" s="5" t="s">
        <v>75</v>
      </c>
    </row>
    <row r="22" customFormat="false" ht="15" hidden="false" customHeight="false" outlineLevel="0" collapsed="false">
      <c r="A22" s="5" t="s">
        <v>84</v>
      </c>
      <c r="B22" s="6" t="n">
        <v>3.9</v>
      </c>
      <c r="C22" s="5" t="n">
        <v>1</v>
      </c>
      <c r="D22" s="5" t="s">
        <v>85</v>
      </c>
      <c r="E22" s="5" t="s">
        <v>80</v>
      </c>
    </row>
    <row r="23" customFormat="false" ht="15" hidden="false" customHeight="false" outlineLevel="0" collapsed="false">
      <c r="A23" s="5" t="s">
        <v>86</v>
      </c>
      <c r="B23" s="6" t="n">
        <v>4</v>
      </c>
      <c r="C23" s="5" t="n">
        <v>1</v>
      </c>
      <c r="D23" s="5" t="s">
        <v>87</v>
      </c>
      <c r="E23" s="5" t="s">
        <v>88</v>
      </c>
    </row>
    <row r="24" customFormat="false" ht="15" hidden="false" customHeight="false" outlineLevel="0" collapsed="false">
      <c r="A24" s="5" t="s">
        <v>89</v>
      </c>
      <c r="B24" s="6" t="n">
        <v>4.4</v>
      </c>
      <c r="C24" s="5" t="n">
        <v>1</v>
      </c>
      <c r="D24" s="5" t="s">
        <v>87</v>
      </c>
      <c r="E24" s="5" t="s">
        <v>88</v>
      </c>
    </row>
    <row r="25" customFormat="false" ht="15" hidden="false" customHeight="false" outlineLevel="0" collapsed="false">
      <c r="A25" s="5" t="s">
        <v>90</v>
      </c>
      <c r="B25" s="6" t="n">
        <v>4.6</v>
      </c>
      <c r="C25" s="5" t="n">
        <v>1</v>
      </c>
      <c r="D25" s="5" t="s">
        <v>87</v>
      </c>
      <c r="E25" s="5" t="s">
        <v>88</v>
      </c>
    </row>
    <row r="26" customFormat="false" ht="15" hidden="false" customHeight="false" outlineLevel="0" collapsed="false">
      <c r="A26" s="5" t="s">
        <v>91</v>
      </c>
      <c r="B26" s="6" t="n">
        <v>2.2</v>
      </c>
      <c r="C26" s="5" t="n">
        <v>1</v>
      </c>
      <c r="D26" s="5" t="s">
        <v>92</v>
      </c>
      <c r="E26" s="5" t="s">
        <v>93</v>
      </c>
    </row>
    <row r="27" customFormat="false" ht="15" hidden="false" customHeight="false" outlineLevel="0" collapsed="false">
      <c r="A27" s="5" t="s">
        <v>94</v>
      </c>
      <c r="B27" s="6" t="n">
        <v>2.7</v>
      </c>
      <c r="C27" s="5" t="n">
        <v>1</v>
      </c>
      <c r="D27" s="5" t="s">
        <v>92</v>
      </c>
      <c r="E27" s="5" t="s">
        <v>93</v>
      </c>
    </row>
    <row r="28" customFormat="false" ht="15" hidden="false" customHeight="false" outlineLevel="0" collapsed="false">
      <c r="A28" s="5" t="s">
        <v>95</v>
      </c>
      <c r="B28" s="6" t="n">
        <v>2.5</v>
      </c>
      <c r="C28" s="5" t="n">
        <v>1</v>
      </c>
      <c r="D28" s="5" t="s">
        <v>96</v>
      </c>
      <c r="E28" s="5" t="s">
        <v>93</v>
      </c>
    </row>
    <row r="29" customFormat="false" ht="15" hidden="false" customHeight="false" outlineLevel="0" collapsed="false">
      <c r="A29" s="5" t="s">
        <v>97</v>
      </c>
      <c r="B29" s="6" t="n">
        <v>2.6</v>
      </c>
      <c r="C29" s="5" t="n">
        <v>1</v>
      </c>
      <c r="D29" s="5" t="s">
        <v>98</v>
      </c>
      <c r="E29" s="5" t="s">
        <v>99</v>
      </c>
    </row>
    <row r="30" customFormat="false" ht="15" hidden="false" customHeight="false" outlineLevel="0" collapsed="false">
      <c r="A30" s="5" t="s">
        <v>100</v>
      </c>
      <c r="B30" s="6" t="n">
        <v>2.9</v>
      </c>
      <c r="C30" s="5" t="n">
        <v>1</v>
      </c>
      <c r="D30" s="5" t="s">
        <v>98</v>
      </c>
      <c r="E30" s="5" t="s">
        <v>99</v>
      </c>
    </row>
    <row r="31" customFormat="false" ht="15" hidden="false" customHeight="false" outlineLevel="0" collapsed="false">
      <c r="A31" s="5" t="s">
        <v>101</v>
      </c>
      <c r="B31" s="6" t="n">
        <v>4.5</v>
      </c>
      <c r="C31" s="5" t="n">
        <v>1</v>
      </c>
      <c r="D31" s="5" t="s">
        <v>102</v>
      </c>
      <c r="E31" s="5" t="s">
        <v>103</v>
      </c>
    </row>
    <row r="33" customFormat="false" ht="15" hidden="false" customHeight="false" outlineLevel="0" collapsed="false">
      <c r="A33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3" t="s">
        <v>105</v>
      </c>
    </row>
    <row r="2" customFormat="false" ht="15" hidden="false" customHeight="false" outlineLevel="0" collapsed="false">
      <c r="A2" s="7" t="s">
        <v>106</v>
      </c>
      <c r="B2" s="7" t="s">
        <v>107</v>
      </c>
      <c r="C2" s="7" t="s">
        <v>108</v>
      </c>
    </row>
    <row r="3" customFormat="false" ht="15" hidden="false" customHeight="false" outlineLevel="0" collapsed="false">
      <c r="A3" s="8" t="n">
        <v>0</v>
      </c>
      <c r="B3" s="2" t="n">
        <v>1</v>
      </c>
      <c r="C3" s="2" t="s">
        <v>109</v>
      </c>
    </row>
    <row r="4" customFormat="false" ht="15" hidden="false" customHeight="false" outlineLevel="0" collapsed="false">
      <c r="A4" s="8" t="n">
        <v>6</v>
      </c>
      <c r="B4" s="2" t="n">
        <v>2</v>
      </c>
      <c r="C4" s="2" t="s">
        <v>110</v>
      </c>
    </row>
    <row r="5" customFormat="false" ht="15" hidden="false" customHeight="false" outlineLevel="0" collapsed="false">
      <c r="A5" s="8" t="n">
        <v>9</v>
      </c>
      <c r="B5" s="2" t="n">
        <v>3</v>
      </c>
      <c r="C5" s="2" t="s">
        <v>111</v>
      </c>
    </row>
    <row r="6" customFormat="false" ht="15" hidden="false" customHeight="false" outlineLevel="0" collapsed="false">
      <c r="A6" s="8" t="n">
        <v>12</v>
      </c>
      <c r="B6" s="2" t="n">
        <v>4</v>
      </c>
      <c r="C6" s="2" t="s">
        <v>112</v>
      </c>
    </row>
    <row r="7" customFormat="false" ht="15" hidden="false" customHeight="false" outlineLevel="0" collapsed="false">
      <c r="A7" s="8" t="n">
        <v>16</v>
      </c>
      <c r="B7" s="2" t="n">
        <v>5</v>
      </c>
      <c r="C7" s="2" t="s">
        <v>113</v>
      </c>
    </row>
    <row r="8" customFormat="false" ht="15" hidden="false" customHeight="false" outlineLevel="0" collapsed="false">
      <c r="A8" s="8" t="n">
        <v>21</v>
      </c>
      <c r="B8" s="2" t="n">
        <v>6</v>
      </c>
      <c r="C8" s="2" t="s">
        <v>114</v>
      </c>
    </row>
    <row r="9" customFormat="false" ht="15" hidden="false" customHeight="false" outlineLevel="0" collapsed="false">
      <c r="A9" s="8" t="n">
        <v>27</v>
      </c>
      <c r="B9" s="2" t="n">
        <v>7</v>
      </c>
      <c r="C9" s="2" t="s">
        <v>115</v>
      </c>
    </row>
    <row r="10" customFormat="false" ht="15" hidden="false" customHeight="false" outlineLevel="0" collapsed="false">
      <c r="A10" s="8" t="n">
        <v>34</v>
      </c>
      <c r="B10" s="2" t="n">
        <v>8</v>
      </c>
      <c r="C10" s="2" t="s">
        <v>116</v>
      </c>
    </row>
    <row r="11" customFormat="false" ht="15" hidden="false" customHeight="false" outlineLevel="0" collapsed="false">
      <c r="A11" s="8" t="n">
        <v>42</v>
      </c>
      <c r="B11" s="2" t="n">
        <v>9</v>
      </c>
      <c r="C11" s="2" t="s">
        <v>117</v>
      </c>
    </row>
    <row r="12" customFormat="false" ht="15" hidden="false" customHeight="false" outlineLevel="0" collapsed="false">
      <c r="A12" s="8" t="n">
        <v>52</v>
      </c>
      <c r="B12" s="2" t="n">
        <v>10</v>
      </c>
      <c r="C12" s="2" t="s">
        <v>118</v>
      </c>
    </row>
    <row r="14" customFormat="false" ht="15" hidden="false" customHeight="false" outlineLevel="0" collapsed="false">
      <c r="A14" s="3" t="s">
        <v>119</v>
      </c>
    </row>
    <row r="15" customFormat="false" ht="15" hidden="false" customHeight="false" outlineLevel="0" collapsed="false">
      <c r="A15" s="7" t="s">
        <v>120</v>
      </c>
      <c r="B15" s="7" t="s">
        <v>121</v>
      </c>
      <c r="C15" s="7" t="s">
        <v>108</v>
      </c>
    </row>
    <row r="16" customFormat="false" ht="15" hidden="false" customHeight="false" outlineLevel="0" collapsed="false">
      <c r="A16" s="2" t="s">
        <v>122</v>
      </c>
      <c r="B16" s="8" t="n">
        <v>4</v>
      </c>
      <c r="C16" s="2" t="s">
        <v>123</v>
      </c>
    </row>
    <row r="17" customFormat="false" ht="15" hidden="false" customHeight="false" outlineLevel="0" collapsed="false">
      <c r="A17" s="2" t="s">
        <v>124</v>
      </c>
      <c r="B17" s="8" t="n">
        <v>4.5</v>
      </c>
      <c r="C17" s="2" t="s">
        <v>125</v>
      </c>
    </row>
    <row r="18" customFormat="false" ht="15" hidden="false" customHeight="false" outlineLevel="0" collapsed="false">
      <c r="A18" s="2" t="s">
        <v>126</v>
      </c>
      <c r="B18" s="8" t="n">
        <v>5.5</v>
      </c>
      <c r="C18" s="2" t="s">
        <v>127</v>
      </c>
    </row>
    <row r="19" customFormat="false" ht="15" hidden="false" customHeight="false" outlineLevel="0" collapsed="false">
      <c r="A19" s="2" t="s">
        <v>128</v>
      </c>
      <c r="B19" s="8" t="n">
        <v>6.3</v>
      </c>
      <c r="C19" s="2" t="s">
        <v>129</v>
      </c>
    </row>
    <row r="20" customFormat="false" ht="15" hidden="false" customHeight="false" outlineLevel="0" collapsed="false">
      <c r="A20" s="2" t="s">
        <v>130</v>
      </c>
      <c r="B20" s="8" t="n">
        <v>7</v>
      </c>
      <c r="C20" s="2" t="s">
        <v>131</v>
      </c>
    </row>
    <row r="21" customFormat="false" ht="15" hidden="false" customHeight="false" outlineLevel="0" collapsed="false">
      <c r="A21" s="2" t="s">
        <v>132</v>
      </c>
      <c r="B21" s="8" t="n">
        <v>7.5</v>
      </c>
      <c r="C21" s="2" t="s">
        <v>133</v>
      </c>
    </row>
    <row r="22" customFormat="false" ht="15" hidden="false" customHeight="false" outlineLevel="0" collapsed="false">
      <c r="A22" s="2" t="s">
        <v>134</v>
      </c>
      <c r="B22" s="8" t="n">
        <v>7</v>
      </c>
      <c r="C22" s="2" t="s">
        <v>135</v>
      </c>
    </row>
    <row r="23" customFormat="false" ht="15" hidden="false" customHeight="false" outlineLevel="0" collapsed="false">
      <c r="A23" s="2" t="s">
        <v>136</v>
      </c>
      <c r="B23" s="8" t="n">
        <v>7.5</v>
      </c>
      <c r="C23" s="2" t="s">
        <v>137</v>
      </c>
    </row>
    <row r="24" customFormat="false" ht="15" hidden="false" customHeight="false" outlineLevel="0" collapsed="false">
      <c r="A24" s="2" t="s">
        <v>138</v>
      </c>
      <c r="B24" s="8" t="n">
        <v>7.5</v>
      </c>
      <c r="C24" s="2" t="s">
        <v>139</v>
      </c>
    </row>
    <row r="25" customFormat="false" ht="15" hidden="false" customHeight="false" outlineLevel="0" collapsed="false">
      <c r="A25" s="2" t="s">
        <v>140</v>
      </c>
      <c r="B25" s="8" t="n">
        <v>8</v>
      </c>
      <c r="C25" s="2" t="s">
        <v>141</v>
      </c>
    </row>
    <row r="26" customFormat="false" ht="15" hidden="false" customHeight="false" outlineLevel="0" collapsed="false">
      <c r="A26" s="2" t="s">
        <v>142</v>
      </c>
      <c r="B26" s="8" t="n">
        <v>8</v>
      </c>
      <c r="C26" s="2" t="s">
        <v>143</v>
      </c>
    </row>
    <row r="28" customFormat="false" ht="15" hidden="false" customHeight="false" outlineLevel="0" collapsed="false">
      <c r="A28" s="3" t="s">
        <v>144</v>
      </c>
    </row>
    <row r="29" customFormat="false" ht="15" hidden="false" customHeight="false" outlineLevel="0" collapsed="false">
      <c r="A29" s="7" t="s">
        <v>145</v>
      </c>
      <c r="B29" s="7" t="s">
        <v>146</v>
      </c>
      <c r="C29" s="7" t="s">
        <v>108</v>
      </c>
    </row>
    <row r="30" customFormat="false" ht="15" hidden="false" customHeight="false" outlineLevel="0" collapsed="false">
      <c r="A30" s="2" t="s">
        <v>147</v>
      </c>
      <c r="B30" s="8" t="n">
        <v>0</v>
      </c>
      <c r="C30" s="2" t="s">
        <v>148</v>
      </c>
    </row>
    <row r="31" customFormat="false" ht="15" hidden="false" customHeight="false" outlineLevel="0" collapsed="false">
      <c r="A31" s="2" t="s">
        <v>149</v>
      </c>
      <c r="B31" s="8" t="n">
        <v>3</v>
      </c>
      <c r="C31" s="2" t="s">
        <v>150</v>
      </c>
    </row>
    <row r="32" customFormat="false" ht="15" hidden="false" customHeight="false" outlineLevel="0" collapsed="false">
      <c r="A32" s="2" t="s">
        <v>134</v>
      </c>
      <c r="B32" s="8" t="n">
        <v>4</v>
      </c>
      <c r="C32" s="2" t="s">
        <v>151</v>
      </c>
    </row>
    <row r="33" customFormat="false" ht="15" hidden="false" customHeight="false" outlineLevel="0" collapsed="false">
      <c r="A33" s="2" t="s">
        <v>136</v>
      </c>
      <c r="B33" s="8" t="n">
        <v>5</v>
      </c>
      <c r="C33" s="2" t="s">
        <v>152</v>
      </c>
    </row>
    <row r="34" customFormat="false" ht="15" hidden="false" customHeight="false" outlineLevel="0" collapsed="false">
      <c r="A34" s="2" t="s">
        <v>153</v>
      </c>
      <c r="B34" s="8" t="n">
        <v>6</v>
      </c>
      <c r="C34" s="2" t="s">
        <v>154</v>
      </c>
    </row>
    <row r="35" customFormat="false" ht="15" hidden="false" customHeight="false" outlineLevel="0" collapsed="false">
      <c r="A35" s="2" t="s">
        <v>155</v>
      </c>
      <c r="B35" s="8" t="n">
        <v>6</v>
      </c>
      <c r="C35" s="2" t="s">
        <v>156</v>
      </c>
    </row>
    <row r="36" customFormat="false" ht="15" hidden="false" customHeight="false" outlineLevel="0" collapsed="false">
      <c r="A36" s="2" t="s">
        <v>138</v>
      </c>
      <c r="B36" s="8" t="n">
        <v>8</v>
      </c>
      <c r="C36" s="2" t="s">
        <v>157</v>
      </c>
    </row>
    <row r="37" customFormat="false" ht="15" hidden="false" customHeight="false" outlineLevel="0" collapsed="false">
      <c r="A37" s="2" t="s">
        <v>158</v>
      </c>
      <c r="B37" s="8" t="n">
        <v>8</v>
      </c>
      <c r="C37" s="2" t="s">
        <v>159</v>
      </c>
    </row>
    <row r="38" customFormat="false" ht="15" hidden="false" customHeight="false" outlineLevel="0" collapsed="false">
      <c r="A38" s="2" t="s">
        <v>142</v>
      </c>
      <c r="B38" s="8" t="n">
        <v>9</v>
      </c>
      <c r="C38" s="2" t="s">
        <v>160</v>
      </c>
    </row>
    <row r="40" customFormat="false" ht="15" hidden="false" customHeight="false" outlineLevel="0" collapsed="false">
      <c r="A40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34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162</v>
      </c>
    </row>
    <row r="3" customFormat="false" ht="15" hidden="false" customHeight="false" outlineLevel="0" collapsed="false">
      <c r="A3" s="9" t="s">
        <v>163</v>
      </c>
      <c r="B3" s="9" t="s">
        <v>164</v>
      </c>
      <c r="C3" s="9" t="s">
        <v>165</v>
      </c>
      <c r="D3" s="9" t="s">
        <v>166</v>
      </c>
      <c r="E3" s="9" t="s">
        <v>167</v>
      </c>
    </row>
    <row r="4" customFormat="false" ht="15" hidden="false" customHeight="false" outlineLevel="0" collapsed="false">
      <c r="A4" s="10" t="n">
        <v>1</v>
      </c>
      <c r="B4" s="10" t="s">
        <v>168</v>
      </c>
      <c r="C4" s="10" t="s">
        <v>169</v>
      </c>
      <c r="D4" s="10" t="s">
        <v>170</v>
      </c>
      <c r="E4" s="10" t="s">
        <v>171</v>
      </c>
    </row>
    <row r="5" customFormat="false" ht="23.85" hidden="false" customHeight="false" outlineLevel="0" collapsed="false">
      <c r="A5" s="10" t="n">
        <v>2</v>
      </c>
      <c r="B5" s="10" t="s">
        <v>172</v>
      </c>
      <c r="C5" s="10" t="s">
        <v>173</v>
      </c>
      <c r="D5" s="10" t="s">
        <v>174</v>
      </c>
      <c r="E5" s="10" t="s">
        <v>175</v>
      </c>
    </row>
    <row r="6" customFormat="false" ht="23.85" hidden="false" customHeight="false" outlineLevel="0" collapsed="false">
      <c r="A6" s="10" t="n">
        <v>3</v>
      </c>
      <c r="B6" s="10" t="s">
        <v>176</v>
      </c>
      <c r="C6" s="10" t="s">
        <v>177</v>
      </c>
      <c r="D6" s="10" t="s">
        <v>178</v>
      </c>
      <c r="E6" s="10" t="s">
        <v>179</v>
      </c>
    </row>
    <row r="7" customFormat="false" ht="15" hidden="false" customHeight="false" outlineLevel="0" collapsed="false">
      <c r="A7" s="10" t="n">
        <v>4</v>
      </c>
      <c r="B7" s="10" t="s">
        <v>180</v>
      </c>
      <c r="C7" s="10" t="s">
        <v>181</v>
      </c>
      <c r="D7" s="10" t="s">
        <v>182</v>
      </c>
      <c r="E7" s="10" t="s">
        <v>183</v>
      </c>
    </row>
    <row r="8" customFormat="false" ht="23.85" hidden="false" customHeight="false" outlineLevel="0" collapsed="false">
      <c r="A8" s="10" t="n">
        <v>5</v>
      </c>
      <c r="B8" s="10" t="s">
        <v>184</v>
      </c>
      <c r="C8" s="10" t="s">
        <v>185</v>
      </c>
      <c r="D8" s="10" t="s">
        <v>186</v>
      </c>
      <c r="E8" s="10" t="s">
        <v>187</v>
      </c>
    </row>
    <row r="11" customFormat="false" ht="15" hidden="false" customHeight="false" outlineLevel="0" collapsed="false">
      <c r="A11" s="2" t="s">
        <v>188</v>
      </c>
    </row>
    <row r="12" customFormat="false" ht="15" hidden="false" customHeight="false" outlineLevel="0" collapsed="false">
      <c r="A12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5" min="4" style="0" width="16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23" min="17" style="0" width="9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9" min="26" style="0" width="10"/>
    <col collapsed="false" customWidth="true" hidden="false" outlineLevel="0" max="30" min="30" style="0" width="52"/>
    <col collapsed="false" customWidth="true" hidden="false" outlineLevel="0" max="31" min="31" style="0" width="8"/>
    <col collapsed="false" customWidth="true" hidden="false" outlineLevel="0" max="32" min="32" style="0" width="12"/>
    <col collapsed="false" customWidth="true" hidden="false" outlineLevel="0" max="33" min="33" style="0" width="9"/>
  </cols>
  <sheetData>
    <row r="1" customFormat="false" ht="33.75" hidden="false" customHeight="true" outlineLevel="0" collapsed="false">
      <c r="A1" s="11" t="s">
        <v>190</v>
      </c>
      <c r="B1" s="11" t="s">
        <v>191</v>
      </c>
      <c r="C1" s="11" t="s">
        <v>192</v>
      </c>
      <c r="D1" s="11" t="s">
        <v>193</v>
      </c>
      <c r="E1" s="11" t="s">
        <v>194</v>
      </c>
      <c r="F1" s="11" t="s">
        <v>195</v>
      </c>
      <c r="G1" s="11" t="s">
        <v>196</v>
      </c>
      <c r="H1" s="11" t="s">
        <v>197</v>
      </c>
      <c r="I1" s="11" t="s">
        <v>198</v>
      </c>
      <c r="J1" s="11" t="s">
        <v>199</v>
      </c>
      <c r="K1" s="11" t="s">
        <v>120</v>
      </c>
      <c r="L1" s="11" t="s">
        <v>145</v>
      </c>
      <c r="M1" s="11" t="s">
        <v>200</v>
      </c>
      <c r="N1" s="11" t="s">
        <v>201</v>
      </c>
      <c r="O1" s="11" t="s">
        <v>202</v>
      </c>
      <c r="P1" s="11" t="s">
        <v>121</v>
      </c>
      <c r="Q1" s="11" t="s">
        <v>203</v>
      </c>
      <c r="R1" s="11" t="s">
        <v>204</v>
      </c>
      <c r="S1" s="11" t="s">
        <v>205</v>
      </c>
      <c r="T1" s="11" t="s">
        <v>206</v>
      </c>
      <c r="U1" s="11" t="s">
        <v>207</v>
      </c>
      <c r="V1" s="11" t="s">
        <v>208</v>
      </c>
      <c r="W1" s="11" t="s">
        <v>164</v>
      </c>
      <c r="X1" s="11" t="s">
        <v>163</v>
      </c>
      <c r="Y1" s="11" t="s">
        <v>209</v>
      </c>
      <c r="Z1" s="11" t="s">
        <v>210</v>
      </c>
      <c r="AA1" s="11" t="s">
        <v>211</v>
      </c>
      <c r="AB1" s="11" t="s">
        <v>212</v>
      </c>
      <c r="AC1" s="11" t="s">
        <v>213</v>
      </c>
      <c r="AD1" s="11" t="s">
        <v>214</v>
      </c>
      <c r="AE1" s="11" t="s">
        <v>215</v>
      </c>
      <c r="AF1" s="11" t="s">
        <v>216</v>
      </c>
      <c r="AG1" s="11" t="s">
        <v>217</v>
      </c>
    </row>
    <row r="2" customFormat="false" ht="15" hidden="false" customHeight="false" outlineLevel="0" collapsed="false">
      <c r="A2" s="12" t="n">
        <v>1</v>
      </c>
      <c r="B2" s="13" t="s">
        <v>218</v>
      </c>
      <c r="C2" s="10" t="s">
        <v>219</v>
      </c>
      <c r="D2" s="14" t="s">
        <v>65</v>
      </c>
      <c r="E2" s="14" t="s">
        <v>65</v>
      </c>
      <c r="F2" s="15" t="n">
        <f aca="false">MAX(IFERROR(INDEX(Stations!$B$2:$B$31,MATCH(D2,Stations!$A$2:$A$31,0)),0),IFERROR(INDEX(Stations!$B$2:$B$31,MATCH(E2,Stations!$A$2:$A$31,0)),0))</f>
        <v>1.6</v>
      </c>
      <c r="G2" s="16" t="n">
        <v>0</v>
      </c>
      <c r="H2" s="16" t="n">
        <v>0</v>
      </c>
      <c r="I2" s="16" t="n">
        <v>5</v>
      </c>
      <c r="J2" s="16" t="n">
        <v>300</v>
      </c>
      <c r="K2" s="14" t="s">
        <v>126</v>
      </c>
      <c r="L2" s="14" t="s">
        <v>147</v>
      </c>
      <c r="M2" s="14" t="s">
        <v>220</v>
      </c>
      <c r="N2" s="16" t="n">
        <v>2</v>
      </c>
      <c r="O2" s="16" t="s">
        <v>221</v>
      </c>
      <c r="P2" s="12" t="n">
        <f aca="false">INDEX(Scale!$B$16:$B$26,MATCH(K2,Scale!$A$16:$A$26,0))</f>
        <v>5.5</v>
      </c>
      <c r="Q2" s="15" t="n">
        <f aca="false">I2/3+J2/350</f>
        <v>2.52380952380952</v>
      </c>
      <c r="R2" s="15" t="n">
        <f aca="false">I2/4.2+J2/500</f>
        <v>1.79047619047619</v>
      </c>
      <c r="S2" s="15" t="n">
        <f aca="false">2*F2+2*G2/60+2*H2/60+Q2+1</f>
        <v>6.72380952380952</v>
      </c>
      <c r="T2" s="15" t="n">
        <f aca="false">I2+J2/100</f>
        <v>8</v>
      </c>
      <c r="U2" s="12" t="n">
        <f aca="false">INDEX(Scale!$B$3:$B$12,MATCH(T2,Scale!$A$3:$A$12,1))</f>
        <v>2</v>
      </c>
      <c r="V2" s="12" t="n">
        <f aca="false">INDEX(Scale!$B$30:$B$38,MATCH(L2,Scale!$A$30:$A$38,0))</f>
        <v>0</v>
      </c>
      <c r="W2" s="17" t="n">
        <f aca="false">MAX(U2,V2)</f>
        <v>2</v>
      </c>
      <c r="X2" s="12" t="n">
        <f aca="false">IF(W2&lt;=3,1,IF(W2&lt;=5,2,IF(W2&lt;=7,3,IF(W2&lt;=8,4,5))))</f>
        <v>1</v>
      </c>
      <c r="Y2" s="13" t="str">
        <f aca="false">IF(S2&lt;=13,"1 day",IF(S2&lt;=15,"1 long day","2 days"))</f>
        <v>1 day</v>
      </c>
      <c r="Z2" s="12" t="n">
        <f aca="false">ROUND(P2*130*Q2,-1)</f>
        <v>1800</v>
      </c>
      <c r="AA2" s="12" t="n">
        <f aca="false">ROUND(P2*120*Q2,-1)</f>
        <v>1670</v>
      </c>
      <c r="AB2" s="12" t="n">
        <f aca="false">ROUND(P2*110*Q2,-1)</f>
        <v>1530</v>
      </c>
      <c r="AC2" s="12" t="n">
        <f aca="false">ROUND(P2*100*Q2,-1)</f>
        <v>1390</v>
      </c>
      <c r="AD2" s="10" t="s">
        <v>222</v>
      </c>
      <c r="AE2" s="16"/>
      <c r="AF2" s="16"/>
      <c r="AG2" s="16"/>
    </row>
    <row r="3" customFormat="false" ht="15" hidden="false" customHeight="false" outlineLevel="0" collapsed="false">
      <c r="A3" s="12" t="n">
        <v>2</v>
      </c>
      <c r="B3" s="13" t="s">
        <v>218</v>
      </c>
      <c r="C3" s="10" t="s">
        <v>223</v>
      </c>
      <c r="D3" s="14" t="s">
        <v>65</v>
      </c>
      <c r="E3" s="14" t="s">
        <v>65</v>
      </c>
      <c r="F3" s="15" t="n">
        <f aca="false">MAX(IFERROR(INDEX(Stations!$B$2:$B$31,MATCH(D3,Stations!$A$2:$A$31,0)),0),IFERROR(INDEX(Stations!$B$2:$B$31,MATCH(E3,Stations!$A$2:$A$31,0)),0))</f>
        <v>1.6</v>
      </c>
      <c r="G3" s="16" t="n">
        <v>10</v>
      </c>
      <c r="H3" s="16" t="n">
        <v>0</v>
      </c>
      <c r="I3" s="16" t="n">
        <v>6.5</v>
      </c>
      <c r="J3" s="16" t="n">
        <v>350</v>
      </c>
      <c r="K3" s="14" t="s">
        <v>126</v>
      </c>
      <c r="L3" s="14" t="s">
        <v>147</v>
      </c>
      <c r="M3" s="14" t="s">
        <v>220</v>
      </c>
      <c r="N3" s="16" t="n">
        <v>3</v>
      </c>
      <c r="O3" s="16" t="s">
        <v>221</v>
      </c>
      <c r="P3" s="12" t="n">
        <f aca="false">INDEX(Scale!$B$16:$B$26,MATCH(K3,Scale!$A$16:$A$26,0))</f>
        <v>5.5</v>
      </c>
      <c r="Q3" s="15" t="n">
        <f aca="false">I3/3+J3/350</f>
        <v>3.16666666666667</v>
      </c>
      <c r="R3" s="15" t="n">
        <f aca="false">I3/4.2+J3/500</f>
        <v>2.24761904761905</v>
      </c>
      <c r="S3" s="15" t="n">
        <f aca="false">2*F3+2*G3/60+2*H3/60+Q3+1</f>
        <v>7.7</v>
      </c>
      <c r="T3" s="15" t="n">
        <f aca="false">I3+J3/100</f>
        <v>10</v>
      </c>
      <c r="U3" s="12" t="n">
        <f aca="false">INDEX(Scale!$B$3:$B$12,MATCH(T3,Scale!$A$3:$A$12,1))</f>
        <v>3</v>
      </c>
      <c r="V3" s="12" t="n">
        <f aca="false">INDEX(Scale!$B$30:$B$38,MATCH(L3,Scale!$A$30:$A$38,0))</f>
        <v>0</v>
      </c>
      <c r="W3" s="17" t="n">
        <f aca="false">MAX(U3,V3)</f>
        <v>3</v>
      </c>
      <c r="X3" s="12" t="n">
        <f aca="false">IF(W3&lt;=3,1,IF(W3&lt;=5,2,IF(W3&lt;=7,3,IF(W3&lt;=8,4,5))))</f>
        <v>1</v>
      </c>
      <c r="Y3" s="13" t="str">
        <f aca="false">IF(S3&lt;=13,"1 day",IF(S3&lt;=15,"1 long day","2 days"))</f>
        <v>1 day</v>
      </c>
      <c r="Z3" s="12" t="n">
        <f aca="false">ROUND(P3*130*Q3,-1)</f>
        <v>2260</v>
      </c>
      <c r="AA3" s="12" t="n">
        <f aca="false">ROUND(P3*120*Q3,-1)</f>
        <v>2090</v>
      </c>
      <c r="AB3" s="12" t="n">
        <f aca="false">ROUND(P3*110*Q3,-1)</f>
        <v>1920</v>
      </c>
      <c r="AC3" s="12" t="n">
        <f aca="false">ROUND(P3*100*Q3,-1)</f>
        <v>1740</v>
      </c>
      <c r="AD3" s="10" t="s">
        <v>224</v>
      </c>
      <c r="AE3" s="16"/>
      <c r="AF3" s="16"/>
      <c r="AG3" s="16"/>
    </row>
    <row r="4" customFormat="false" ht="15" hidden="false" customHeight="false" outlineLevel="0" collapsed="false">
      <c r="A4" s="12" t="n">
        <v>3</v>
      </c>
      <c r="B4" s="13" t="s">
        <v>218</v>
      </c>
      <c r="C4" s="10" t="s">
        <v>225</v>
      </c>
      <c r="D4" s="14" t="s">
        <v>65</v>
      </c>
      <c r="E4" s="14" t="s">
        <v>65</v>
      </c>
      <c r="F4" s="15" t="n">
        <f aca="false">MAX(IFERROR(INDEX(Stations!$B$2:$B$31,MATCH(D4,Stations!$A$2:$A$31,0)),0),IFERROR(INDEX(Stations!$B$2:$B$31,MATCH(E4,Stations!$A$2:$A$31,0)),0))</f>
        <v>1.6</v>
      </c>
      <c r="G4" s="16" t="n">
        <v>15</v>
      </c>
      <c r="H4" s="16" t="n">
        <v>0</v>
      </c>
      <c r="I4" s="16" t="n">
        <v>7</v>
      </c>
      <c r="J4" s="16" t="n">
        <v>300</v>
      </c>
      <c r="K4" s="14" t="s">
        <v>126</v>
      </c>
      <c r="L4" s="14" t="s">
        <v>147</v>
      </c>
      <c r="M4" s="14" t="s">
        <v>220</v>
      </c>
      <c r="N4" s="16" t="n">
        <v>4</v>
      </c>
      <c r="O4" s="16" t="s">
        <v>226</v>
      </c>
      <c r="P4" s="12" t="n">
        <f aca="false">INDEX(Scale!$B$16:$B$26,MATCH(K4,Scale!$A$16:$A$26,0))</f>
        <v>5.5</v>
      </c>
      <c r="Q4" s="15" t="n">
        <f aca="false">I4/3+J4/350</f>
        <v>3.19047619047619</v>
      </c>
      <c r="R4" s="15" t="n">
        <f aca="false">I4/4.2+J4/500</f>
        <v>2.26666666666667</v>
      </c>
      <c r="S4" s="15" t="n">
        <f aca="false">2*F4+2*G4/60+2*H4/60+Q4+1</f>
        <v>7.89047619047619</v>
      </c>
      <c r="T4" s="15" t="n">
        <f aca="false">I4+J4/100</f>
        <v>10</v>
      </c>
      <c r="U4" s="12" t="n">
        <f aca="false">INDEX(Scale!$B$3:$B$12,MATCH(T4,Scale!$A$3:$A$12,1))</f>
        <v>3</v>
      </c>
      <c r="V4" s="12" t="n">
        <f aca="false">INDEX(Scale!$B$30:$B$38,MATCH(L4,Scale!$A$30:$A$38,0))</f>
        <v>0</v>
      </c>
      <c r="W4" s="17" t="n">
        <f aca="false">MAX(U4,V4)</f>
        <v>3</v>
      </c>
      <c r="X4" s="12" t="n">
        <f aca="false">IF(W4&lt;=3,1,IF(W4&lt;=5,2,IF(W4&lt;=7,3,IF(W4&lt;=8,4,5))))</f>
        <v>1</v>
      </c>
      <c r="Y4" s="13" t="str">
        <f aca="false">IF(S4&lt;=13,"1 day",IF(S4&lt;=15,"1 long day","2 days"))</f>
        <v>1 day</v>
      </c>
      <c r="Z4" s="12" t="n">
        <f aca="false">ROUND(P4*130*Q4,-1)</f>
        <v>2280</v>
      </c>
      <c r="AA4" s="12" t="n">
        <f aca="false">ROUND(P4*120*Q4,-1)</f>
        <v>2110</v>
      </c>
      <c r="AB4" s="12" t="n">
        <f aca="false">ROUND(P4*110*Q4,-1)</f>
        <v>1930</v>
      </c>
      <c r="AC4" s="12" t="n">
        <f aca="false">ROUND(P4*100*Q4,-1)</f>
        <v>1750</v>
      </c>
      <c r="AD4" s="10" t="s">
        <v>227</v>
      </c>
      <c r="AE4" s="16"/>
      <c r="AF4" s="16"/>
      <c r="AG4" s="16"/>
    </row>
    <row r="5" customFormat="false" ht="15" hidden="false" customHeight="false" outlineLevel="0" collapsed="false">
      <c r="A5" s="12" t="n">
        <v>4</v>
      </c>
      <c r="B5" s="13" t="s">
        <v>218</v>
      </c>
      <c r="C5" s="10" t="s">
        <v>228</v>
      </c>
      <c r="D5" s="14" t="s">
        <v>65</v>
      </c>
      <c r="E5" s="14" t="s">
        <v>65</v>
      </c>
      <c r="F5" s="15" t="n">
        <f aca="false">MAX(IFERROR(INDEX(Stations!$B$2:$B$31,MATCH(D5,Stations!$A$2:$A$31,0)),0),IFERROR(INDEX(Stations!$B$2:$B$31,MATCH(E5,Stations!$A$2:$A$31,0)),0))</f>
        <v>1.6</v>
      </c>
      <c r="G5" s="16" t="n">
        <v>10</v>
      </c>
      <c r="H5" s="16" t="n">
        <v>0</v>
      </c>
      <c r="I5" s="16" t="n">
        <v>8</v>
      </c>
      <c r="J5" s="16" t="n">
        <v>450</v>
      </c>
      <c r="K5" s="14" t="s">
        <v>126</v>
      </c>
      <c r="L5" s="14" t="s">
        <v>147</v>
      </c>
      <c r="M5" s="14" t="s">
        <v>220</v>
      </c>
      <c r="N5" s="16" t="n">
        <v>3</v>
      </c>
      <c r="O5" s="16" t="s">
        <v>226</v>
      </c>
      <c r="P5" s="12" t="n">
        <f aca="false">INDEX(Scale!$B$16:$B$26,MATCH(K5,Scale!$A$16:$A$26,0))</f>
        <v>5.5</v>
      </c>
      <c r="Q5" s="15" t="n">
        <f aca="false">I5/3+J5/350</f>
        <v>3.95238095238095</v>
      </c>
      <c r="R5" s="15" t="n">
        <f aca="false">I5/4.2+J5/500</f>
        <v>2.8047619047619</v>
      </c>
      <c r="S5" s="15" t="n">
        <f aca="false">2*F5+2*G5/60+2*H5/60+Q5+1</f>
        <v>8.48571428571429</v>
      </c>
      <c r="T5" s="15" t="n">
        <f aca="false">I5+J5/100</f>
        <v>12.5</v>
      </c>
      <c r="U5" s="12" t="n">
        <f aca="false">INDEX(Scale!$B$3:$B$12,MATCH(T5,Scale!$A$3:$A$12,1))</f>
        <v>4</v>
      </c>
      <c r="V5" s="12" t="n">
        <f aca="false">INDEX(Scale!$B$30:$B$38,MATCH(L5,Scale!$A$30:$A$38,0))</f>
        <v>0</v>
      </c>
      <c r="W5" s="17" t="n">
        <f aca="false">MAX(U5,V5)</f>
        <v>4</v>
      </c>
      <c r="X5" s="12" t="n">
        <f aca="false">IF(W5&lt;=3,1,IF(W5&lt;=5,2,IF(W5&lt;=7,3,IF(W5&lt;=8,4,5))))</f>
        <v>2</v>
      </c>
      <c r="Y5" s="13" t="str">
        <f aca="false">IF(S5&lt;=13,"1 day",IF(S5&lt;=15,"1 long day","2 days"))</f>
        <v>1 day</v>
      </c>
      <c r="Z5" s="12" t="n">
        <f aca="false">ROUND(P5*130*Q5,-1)</f>
        <v>2830</v>
      </c>
      <c r="AA5" s="12" t="n">
        <f aca="false">ROUND(P5*120*Q5,-1)</f>
        <v>2610</v>
      </c>
      <c r="AB5" s="12" t="n">
        <f aca="false">ROUND(P5*110*Q5,-1)</f>
        <v>2390</v>
      </c>
      <c r="AC5" s="12" t="n">
        <f aca="false">ROUND(P5*100*Q5,-1)</f>
        <v>2170</v>
      </c>
      <c r="AD5" s="10" t="s">
        <v>229</v>
      </c>
      <c r="AE5" s="16"/>
      <c r="AF5" s="16"/>
      <c r="AG5" s="16"/>
    </row>
    <row r="6" customFormat="false" ht="15" hidden="false" customHeight="false" outlineLevel="0" collapsed="false">
      <c r="A6" s="12" t="n">
        <v>5</v>
      </c>
      <c r="B6" s="13" t="s">
        <v>218</v>
      </c>
      <c r="C6" s="10" t="s">
        <v>230</v>
      </c>
      <c r="D6" s="14" t="s">
        <v>65</v>
      </c>
      <c r="E6" s="14" t="s">
        <v>65</v>
      </c>
      <c r="F6" s="15" t="n">
        <f aca="false">MAX(IFERROR(INDEX(Stations!$B$2:$B$31,MATCH(D6,Stations!$A$2:$A$31,0)),0),IFERROR(INDEX(Stations!$B$2:$B$31,MATCH(E6,Stations!$A$2:$A$31,0)),0))</f>
        <v>1.6</v>
      </c>
      <c r="G6" s="16" t="n">
        <v>10</v>
      </c>
      <c r="H6" s="16" t="n">
        <v>0</v>
      </c>
      <c r="I6" s="16" t="n">
        <v>10</v>
      </c>
      <c r="J6" s="16" t="n">
        <v>650</v>
      </c>
      <c r="K6" s="14" t="s">
        <v>128</v>
      </c>
      <c r="L6" s="14" t="s">
        <v>147</v>
      </c>
      <c r="M6" s="14" t="s">
        <v>231</v>
      </c>
      <c r="N6" s="16" t="n">
        <v>4</v>
      </c>
      <c r="O6" s="16" t="s">
        <v>221</v>
      </c>
      <c r="P6" s="12" t="n">
        <f aca="false">INDEX(Scale!$B$16:$B$26,MATCH(K6,Scale!$A$16:$A$26,0))</f>
        <v>6.3</v>
      </c>
      <c r="Q6" s="15" t="n">
        <f aca="false">I6/3+J6/350</f>
        <v>5.19047619047619</v>
      </c>
      <c r="R6" s="15" t="n">
        <f aca="false">I6/4.2+J6/500</f>
        <v>3.68095238095238</v>
      </c>
      <c r="S6" s="15" t="n">
        <f aca="false">2*F6+2*G6/60+2*H6/60+Q6+1</f>
        <v>9.72380952380953</v>
      </c>
      <c r="T6" s="15" t="n">
        <f aca="false">I6+J6/100</f>
        <v>16.5</v>
      </c>
      <c r="U6" s="12" t="n">
        <f aca="false">INDEX(Scale!$B$3:$B$12,MATCH(T6,Scale!$A$3:$A$12,1))</f>
        <v>5</v>
      </c>
      <c r="V6" s="12" t="n">
        <f aca="false">INDEX(Scale!$B$30:$B$38,MATCH(L6,Scale!$A$30:$A$38,0))</f>
        <v>0</v>
      </c>
      <c r="W6" s="17" t="n">
        <f aca="false">MAX(U6,V6)</f>
        <v>5</v>
      </c>
      <c r="X6" s="12" t="n">
        <f aca="false">IF(W6&lt;=3,1,IF(W6&lt;=5,2,IF(W6&lt;=7,3,IF(W6&lt;=8,4,5))))</f>
        <v>2</v>
      </c>
      <c r="Y6" s="13" t="str">
        <f aca="false">IF(S6&lt;=13,"1 day",IF(S6&lt;=15,"1 long day","2 days"))</f>
        <v>1 day</v>
      </c>
      <c r="Z6" s="12" t="n">
        <f aca="false">ROUND(P6*130*Q6,-1)</f>
        <v>4250</v>
      </c>
      <c r="AA6" s="12" t="n">
        <f aca="false">ROUND(P6*120*Q6,-1)</f>
        <v>3920</v>
      </c>
      <c r="AB6" s="12" t="n">
        <f aca="false">ROUND(P6*110*Q6,-1)</f>
        <v>3600</v>
      </c>
      <c r="AC6" s="12" t="n">
        <f aca="false">ROUND(P6*100*Q6,-1)</f>
        <v>3270</v>
      </c>
      <c r="AD6" s="10" t="s">
        <v>232</v>
      </c>
      <c r="AE6" s="16"/>
      <c r="AF6" s="16"/>
      <c r="AG6" s="16"/>
    </row>
    <row r="7" customFormat="false" ht="15" hidden="false" customHeight="false" outlineLevel="0" collapsed="false">
      <c r="A7" s="12" t="n">
        <v>6</v>
      </c>
      <c r="B7" s="13" t="s">
        <v>218</v>
      </c>
      <c r="C7" s="10" t="s">
        <v>233</v>
      </c>
      <c r="D7" s="14" t="s">
        <v>65</v>
      </c>
      <c r="E7" s="14" t="s">
        <v>65</v>
      </c>
      <c r="F7" s="15" t="n">
        <f aca="false">MAX(IFERROR(INDEX(Stations!$B$2:$B$31,MATCH(D7,Stations!$A$2:$A$31,0)),0),IFERROR(INDEX(Stations!$B$2:$B$31,MATCH(E7,Stations!$A$2:$A$31,0)),0))</f>
        <v>1.6</v>
      </c>
      <c r="G7" s="16" t="n">
        <v>20</v>
      </c>
      <c r="H7" s="16" t="n">
        <v>0</v>
      </c>
      <c r="I7" s="16" t="n">
        <v>12</v>
      </c>
      <c r="J7" s="16" t="n">
        <v>700</v>
      </c>
      <c r="K7" s="14" t="s">
        <v>128</v>
      </c>
      <c r="L7" s="14" t="s">
        <v>147</v>
      </c>
      <c r="M7" s="14" t="s">
        <v>234</v>
      </c>
      <c r="N7" s="16" t="n">
        <v>3</v>
      </c>
      <c r="O7" s="16" t="s">
        <v>221</v>
      </c>
      <c r="P7" s="12" t="n">
        <f aca="false">INDEX(Scale!$B$16:$B$26,MATCH(K7,Scale!$A$16:$A$26,0))</f>
        <v>6.3</v>
      </c>
      <c r="Q7" s="15" t="n">
        <f aca="false">I7/3+J7/350</f>
        <v>6</v>
      </c>
      <c r="R7" s="15" t="n">
        <f aca="false">I7/4.2+J7/500</f>
        <v>4.25714285714286</v>
      </c>
      <c r="S7" s="15" t="n">
        <f aca="false">2*F7+2*G7/60+2*H7/60+Q7+1</f>
        <v>10.8666666666667</v>
      </c>
      <c r="T7" s="15" t="n">
        <f aca="false">I7+J7/100</f>
        <v>19</v>
      </c>
      <c r="U7" s="12" t="n">
        <f aca="false">INDEX(Scale!$B$3:$B$12,MATCH(T7,Scale!$A$3:$A$12,1))</f>
        <v>5</v>
      </c>
      <c r="V7" s="12" t="n">
        <f aca="false">INDEX(Scale!$B$30:$B$38,MATCH(L7,Scale!$A$30:$A$38,0))</f>
        <v>0</v>
      </c>
      <c r="W7" s="17" t="n">
        <f aca="false">MAX(U7,V7)</f>
        <v>5</v>
      </c>
      <c r="X7" s="12" t="n">
        <f aca="false">IF(W7&lt;=3,1,IF(W7&lt;=5,2,IF(W7&lt;=7,3,IF(W7&lt;=8,4,5))))</f>
        <v>2</v>
      </c>
      <c r="Y7" s="13" t="str">
        <f aca="false">IF(S7&lt;=13,"1 day",IF(S7&lt;=15,"1 long day","2 days"))</f>
        <v>1 day</v>
      </c>
      <c r="Z7" s="12" t="n">
        <f aca="false">ROUND(P7*130*Q7,-1)</f>
        <v>4910</v>
      </c>
      <c r="AA7" s="12" t="n">
        <f aca="false">ROUND(P7*120*Q7,-1)</f>
        <v>4540</v>
      </c>
      <c r="AB7" s="12" t="n">
        <f aca="false">ROUND(P7*110*Q7,-1)</f>
        <v>4160</v>
      </c>
      <c r="AC7" s="12" t="n">
        <f aca="false">ROUND(P7*100*Q7,-1)</f>
        <v>3780</v>
      </c>
      <c r="AD7" s="10" t="s">
        <v>235</v>
      </c>
      <c r="AE7" s="16"/>
      <c r="AF7" s="16"/>
      <c r="AG7" s="16"/>
    </row>
    <row r="8" customFormat="false" ht="15" hidden="false" customHeight="false" outlineLevel="0" collapsed="false">
      <c r="A8" s="12" t="n">
        <v>7</v>
      </c>
      <c r="B8" s="13" t="s">
        <v>218</v>
      </c>
      <c r="C8" s="10" t="s">
        <v>236</v>
      </c>
      <c r="D8" s="14" t="s">
        <v>65</v>
      </c>
      <c r="E8" s="14" t="s">
        <v>65</v>
      </c>
      <c r="F8" s="15" t="n">
        <f aca="false">MAX(IFERROR(INDEX(Stations!$B$2:$B$31,MATCH(D8,Stations!$A$2:$A$31,0)),0),IFERROR(INDEX(Stations!$B$2:$B$31,MATCH(E8,Stations!$A$2:$A$31,0)),0))</f>
        <v>1.6</v>
      </c>
      <c r="G8" s="16" t="n">
        <v>5</v>
      </c>
      <c r="H8" s="16" t="n">
        <v>0</v>
      </c>
      <c r="I8" s="16" t="n">
        <v>7</v>
      </c>
      <c r="J8" s="16" t="n">
        <v>600</v>
      </c>
      <c r="K8" s="14" t="s">
        <v>126</v>
      </c>
      <c r="L8" s="14" t="s">
        <v>147</v>
      </c>
      <c r="M8" s="14" t="s">
        <v>220</v>
      </c>
      <c r="N8" s="16" t="n">
        <v>2</v>
      </c>
      <c r="O8" s="16" t="s">
        <v>221</v>
      </c>
      <c r="P8" s="12" t="n">
        <f aca="false">INDEX(Scale!$B$16:$B$26,MATCH(K8,Scale!$A$16:$A$26,0))</f>
        <v>5.5</v>
      </c>
      <c r="Q8" s="15" t="n">
        <f aca="false">I8/3+J8/350</f>
        <v>4.04761904761905</v>
      </c>
      <c r="R8" s="15" t="n">
        <f aca="false">I8/4.2+J8/500</f>
        <v>2.86666666666667</v>
      </c>
      <c r="S8" s="15" t="n">
        <f aca="false">2*F8+2*G8/60+2*H8/60+Q8+1</f>
        <v>8.41428571428572</v>
      </c>
      <c r="T8" s="15" t="n">
        <f aca="false">I8+J8/100</f>
        <v>13</v>
      </c>
      <c r="U8" s="12" t="n">
        <f aca="false">INDEX(Scale!$B$3:$B$12,MATCH(T8,Scale!$A$3:$A$12,1))</f>
        <v>4</v>
      </c>
      <c r="V8" s="12" t="n">
        <f aca="false">INDEX(Scale!$B$30:$B$38,MATCH(L8,Scale!$A$30:$A$38,0))</f>
        <v>0</v>
      </c>
      <c r="W8" s="17" t="n">
        <f aca="false">MAX(U8,V8)</f>
        <v>4</v>
      </c>
      <c r="X8" s="12" t="n">
        <f aca="false">IF(W8&lt;=3,1,IF(W8&lt;=5,2,IF(W8&lt;=7,3,IF(W8&lt;=8,4,5))))</f>
        <v>2</v>
      </c>
      <c r="Y8" s="13" t="str">
        <f aca="false">IF(S8&lt;=13,"1 day",IF(S8&lt;=15,"1 long day","2 days"))</f>
        <v>1 day</v>
      </c>
      <c r="Z8" s="12" t="n">
        <f aca="false">ROUND(P8*130*Q8,-1)</f>
        <v>2890</v>
      </c>
      <c r="AA8" s="12" t="n">
        <f aca="false">ROUND(P8*120*Q8,-1)</f>
        <v>2670</v>
      </c>
      <c r="AB8" s="12" t="n">
        <f aca="false">ROUND(P8*110*Q8,-1)</f>
        <v>2450</v>
      </c>
      <c r="AC8" s="12" t="n">
        <f aca="false">ROUND(P8*100*Q8,-1)</f>
        <v>2230</v>
      </c>
      <c r="AD8" s="10" t="s">
        <v>237</v>
      </c>
      <c r="AE8" s="16"/>
      <c r="AF8" s="16"/>
      <c r="AG8" s="16"/>
    </row>
    <row r="9" customFormat="false" ht="15" hidden="false" customHeight="false" outlineLevel="0" collapsed="false">
      <c r="A9" s="12" t="n">
        <v>8</v>
      </c>
      <c r="B9" s="13" t="s">
        <v>218</v>
      </c>
      <c r="C9" s="10" t="s">
        <v>238</v>
      </c>
      <c r="D9" s="14" t="s">
        <v>65</v>
      </c>
      <c r="E9" s="14" t="s">
        <v>65</v>
      </c>
      <c r="F9" s="15" t="n">
        <f aca="false">MAX(IFERROR(INDEX(Stations!$B$2:$B$31,MATCH(D9,Stations!$A$2:$A$31,0)),0),IFERROR(INDEX(Stations!$B$2:$B$31,MATCH(E9,Stations!$A$2:$A$31,0)),0))</f>
        <v>1.6</v>
      </c>
      <c r="G9" s="16" t="n">
        <v>5</v>
      </c>
      <c r="H9" s="16" t="n">
        <v>0</v>
      </c>
      <c r="I9" s="16" t="n">
        <v>12</v>
      </c>
      <c r="J9" s="16" t="n">
        <v>1150</v>
      </c>
      <c r="K9" s="14" t="s">
        <v>128</v>
      </c>
      <c r="L9" s="14" t="s">
        <v>147</v>
      </c>
      <c r="M9" s="14" t="s">
        <v>239</v>
      </c>
      <c r="N9" s="16" t="n">
        <v>2</v>
      </c>
      <c r="O9" s="16" t="s">
        <v>221</v>
      </c>
      <c r="P9" s="12" t="n">
        <f aca="false">INDEX(Scale!$B$16:$B$26,MATCH(K9,Scale!$A$16:$A$26,0))</f>
        <v>6.3</v>
      </c>
      <c r="Q9" s="15" t="n">
        <f aca="false">I9/3+J9/350</f>
        <v>7.28571428571429</v>
      </c>
      <c r="R9" s="15" t="n">
        <f aca="false">I9/4.2+J9/500</f>
        <v>5.15714285714286</v>
      </c>
      <c r="S9" s="15" t="n">
        <f aca="false">2*F9+2*G9/60+2*H9/60+Q9+1</f>
        <v>11.652380952381</v>
      </c>
      <c r="T9" s="15" t="n">
        <f aca="false">I9+J9/100</f>
        <v>23.5</v>
      </c>
      <c r="U9" s="12" t="n">
        <f aca="false">INDEX(Scale!$B$3:$B$12,MATCH(T9,Scale!$A$3:$A$12,1))</f>
        <v>6</v>
      </c>
      <c r="V9" s="12" t="n">
        <f aca="false">INDEX(Scale!$B$30:$B$38,MATCH(L9,Scale!$A$30:$A$38,0))</f>
        <v>0</v>
      </c>
      <c r="W9" s="17" t="n">
        <f aca="false">MAX(U9,V9)</f>
        <v>6</v>
      </c>
      <c r="X9" s="12" t="n">
        <f aca="false">IF(W9&lt;=3,1,IF(W9&lt;=5,2,IF(W9&lt;=7,3,IF(W9&lt;=8,4,5))))</f>
        <v>3</v>
      </c>
      <c r="Y9" s="13" t="str">
        <f aca="false">IF(S9&lt;=13,"1 day",IF(S9&lt;=15,"1 long day","2 days"))</f>
        <v>1 day</v>
      </c>
      <c r="Z9" s="12" t="n">
        <f aca="false">ROUND(P9*130*Q9,-1)</f>
        <v>5970</v>
      </c>
      <c r="AA9" s="12" t="n">
        <f aca="false">ROUND(P9*120*Q9,-1)</f>
        <v>5510</v>
      </c>
      <c r="AB9" s="12" t="n">
        <f aca="false">ROUND(P9*110*Q9,-1)</f>
        <v>5050</v>
      </c>
      <c r="AC9" s="12" t="n">
        <f aca="false">ROUND(P9*100*Q9,-1)</f>
        <v>4590</v>
      </c>
      <c r="AD9" s="10" t="s">
        <v>240</v>
      </c>
      <c r="AE9" s="16"/>
      <c r="AF9" s="16"/>
      <c r="AG9" s="16"/>
    </row>
    <row r="10" customFormat="false" ht="15" hidden="false" customHeight="false" outlineLevel="0" collapsed="false">
      <c r="A10" s="12" t="n">
        <v>9</v>
      </c>
      <c r="B10" s="13" t="s">
        <v>218</v>
      </c>
      <c r="C10" s="10" t="s">
        <v>241</v>
      </c>
      <c r="D10" s="14" t="s">
        <v>65</v>
      </c>
      <c r="E10" s="14" t="s">
        <v>65</v>
      </c>
      <c r="F10" s="15" t="n">
        <f aca="false">MAX(IFERROR(INDEX(Stations!$B$2:$B$31,MATCH(D10,Stations!$A$2:$A$31,0)),0),IFERROR(INDEX(Stations!$B$2:$B$31,MATCH(E10,Stations!$A$2:$A$31,0)),0))</f>
        <v>1.6</v>
      </c>
      <c r="G10" s="16" t="n">
        <v>5</v>
      </c>
      <c r="H10" s="16" t="n">
        <v>0</v>
      </c>
      <c r="I10" s="16" t="n">
        <v>13</v>
      </c>
      <c r="J10" s="16" t="n">
        <v>1050</v>
      </c>
      <c r="K10" s="14" t="s">
        <v>128</v>
      </c>
      <c r="L10" s="14" t="s">
        <v>147</v>
      </c>
      <c r="M10" s="14" t="s">
        <v>239</v>
      </c>
      <c r="N10" s="16" t="n">
        <v>2</v>
      </c>
      <c r="O10" s="16" t="s">
        <v>221</v>
      </c>
      <c r="P10" s="12" t="n">
        <f aca="false">INDEX(Scale!$B$16:$B$26,MATCH(K10,Scale!$A$16:$A$26,0))</f>
        <v>6.3</v>
      </c>
      <c r="Q10" s="15" t="n">
        <f aca="false">I10/3+J10/350</f>
        <v>7.33333333333333</v>
      </c>
      <c r="R10" s="15" t="n">
        <f aca="false">I10/4.2+J10/500</f>
        <v>5.19523809523809</v>
      </c>
      <c r="S10" s="15" t="n">
        <f aca="false">2*F10+2*G10/60+2*H10/60+Q10+1</f>
        <v>11.7</v>
      </c>
      <c r="T10" s="15" t="n">
        <f aca="false">I10+J10/100</f>
        <v>23.5</v>
      </c>
      <c r="U10" s="12" t="n">
        <f aca="false">INDEX(Scale!$B$3:$B$12,MATCH(T10,Scale!$A$3:$A$12,1))</f>
        <v>6</v>
      </c>
      <c r="V10" s="12" t="n">
        <f aca="false">INDEX(Scale!$B$30:$B$38,MATCH(L10,Scale!$A$30:$A$38,0))</f>
        <v>0</v>
      </c>
      <c r="W10" s="17" t="n">
        <f aca="false">MAX(U10,V10)</f>
        <v>6</v>
      </c>
      <c r="X10" s="12" t="n">
        <f aca="false">IF(W10&lt;=3,1,IF(W10&lt;=5,2,IF(W10&lt;=7,3,IF(W10&lt;=8,4,5))))</f>
        <v>3</v>
      </c>
      <c r="Y10" s="13" t="str">
        <f aca="false">IF(S10&lt;=13,"1 day",IF(S10&lt;=15,"1 long day","2 days"))</f>
        <v>1 day</v>
      </c>
      <c r="Z10" s="12" t="n">
        <f aca="false">ROUND(P10*130*Q10,-1)</f>
        <v>6010</v>
      </c>
      <c r="AA10" s="12" t="n">
        <f aca="false">ROUND(P10*120*Q10,-1)</f>
        <v>5540</v>
      </c>
      <c r="AB10" s="12" t="n">
        <f aca="false">ROUND(P10*110*Q10,-1)</f>
        <v>5080</v>
      </c>
      <c r="AC10" s="12" t="n">
        <f aca="false">ROUND(P10*100*Q10,-1)</f>
        <v>4620</v>
      </c>
      <c r="AD10" s="10" t="s">
        <v>242</v>
      </c>
      <c r="AE10" s="16"/>
      <c r="AF10" s="16"/>
      <c r="AG10" s="16"/>
    </row>
    <row r="11" customFormat="false" ht="15" hidden="false" customHeight="false" outlineLevel="0" collapsed="false">
      <c r="A11" s="12" t="n">
        <v>10</v>
      </c>
      <c r="B11" s="13" t="s">
        <v>218</v>
      </c>
      <c r="C11" s="10" t="s">
        <v>243</v>
      </c>
      <c r="D11" s="14" t="s">
        <v>65</v>
      </c>
      <c r="E11" s="14" t="s">
        <v>65</v>
      </c>
      <c r="F11" s="15" t="n">
        <f aca="false">MAX(IFERROR(INDEX(Stations!$B$2:$B$31,MATCH(D11,Stations!$A$2:$A$31,0)),0),IFERROR(INDEX(Stations!$B$2:$B$31,MATCH(E11,Stations!$A$2:$A$31,0)),0))</f>
        <v>1.6</v>
      </c>
      <c r="G11" s="16" t="n">
        <v>5</v>
      </c>
      <c r="H11" s="16" t="n">
        <v>0</v>
      </c>
      <c r="I11" s="16" t="n">
        <v>14</v>
      </c>
      <c r="J11" s="16" t="n">
        <v>1150</v>
      </c>
      <c r="K11" s="14" t="s">
        <v>128</v>
      </c>
      <c r="L11" s="14" t="s">
        <v>147</v>
      </c>
      <c r="M11" s="14" t="s">
        <v>239</v>
      </c>
      <c r="N11" s="16" t="n">
        <v>2</v>
      </c>
      <c r="O11" s="16" t="s">
        <v>221</v>
      </c>
      <c r="P11" s="12" t="n">
        <f aca="false">INDEX(Scale!$B$16:$B$26,MATCH(K11,Scale!$A$16:$A$26,0))</f>
        <v>6.3</v>
      </c>
      <c r="Q11" s="15" t="n">
        <f aca="false">I11/3+J11/350</f>
        <v>7.95238095238095</v>
      </c>
      <c r="R11" s="15" t="n">
        <f aca="false">I11/4.2+J11/500</f>
        <v>5.63333333333333</v>
      </c>
      <c r="S11" s="15" t="n">
        <f aca="false">2*F11+2*G11/60+2*H11/60+Q11+1</f>
        <v>12.3190476190476</v>
      </c>
      <c r="T11" s="15" t="n">
        <f aca="false">I11+J11/100</f>
        <v>25.5</v>
      </c>
      <c r="U11" s="12" t="n">
        <f aca="false">INDEX(Scale!$B$3:$B$12,MATCH(T11,Scale!$A$3:$A$12,1))</f>
        <v>6</v>
      </c>
      <c r="V11" s="12" t="n">
        <f aca="false">INDEX(Scale!$B$30:$B$38,MATCH(L11,Scale!$A$30:$A$38,0))</f>
        <v>0</v>
      </c>
      <c r="W11" s="17" t="n">
        <f aca="false">MAX(U11,V11)</f>
        <v>6</v>
      </c>
      <c r="X11" s="12" t="n">
        <f aca="false">IF(W11&lt;=3,1,IF(W11&lt;=5,2,IF(W11&lt;=7,3,IF(W11&lt;=8,4,5))))</f>
        <v>3</v>
      </c>
      <c r="Y11" s="13" t="str">
        <f aca="false">IF(S11&lt;=13,"1 day",IF(S11&lt;=15,"1 long day","2 days"))</f>
        <v>1 day</v>
      </c>
      <c r="Z11" s="12" t="n">
        <f aca="false">ROUND(P11*130*Q11,-1)</f>
        <v>6510</v>
      </c>
      <c r="AA11" s="12" t="n">
        <f aca="false">ROUND(P11*120*Q11,-1)</f>
        <v>6010</v>
      </c>
      <c r="AB11" s="12" t="n">
        <f aca="false">ROUND(P11*110*Q11,-1)</f>
        <v>5510</v>
      </c>
      <c r="AC11" s="12" t="n">
        <f aca="false">ROUND(P11*100*Q11,-1)</f>
        <v>5010</v>
      </c>
      <c r="AD11" s="10" t="s">
        <v>244</v>
      </c>
      <c r="AE11" s="16"/>
      <c r="AF11" s="16"/>
      <c r="AG11" s="16"/>
    </row>
    <row r="12" customFormat="false" ht="15" hidden="false" customHeight="false" outlineLevel="0" collapsed="false">
      <c r="A12" s="12" t="n">
        <v>11</v>
      </c>
      <c r="B12" s="13" t="s">
        <v>218</v>
      </c>
      <c r="C12" s="10" t="s">
        <v>245</v>
      </c>
      <c r="D12" s="14" t="s">
        <v>65</v>
      </c>
      <c r="E12" s="14" t="s">
        <v>65</v>
      </c>
      <c r="F12" s="15" t="n">
        <f aca="false">MAX(IFERROR(INDEX(Stations!$B$2:$B$31,MATCH(D12,Stations!$A$2:$A$31,0)),0),IFERROR(INDEX(Stations!$B$2:$B$31,MATCH(E12,Stations!$A$2:$A$31,0)),0))</f>
        <v>1.6</v>
      </c>
      <c r="G12" s="16" t="n">
        <v>5</v>
      </c>
      <c r="H12" s="16" t="n">
        <v>0</v>
      </c>
      <c r="I12" s="16" t="n">
        <v>17</v>
      </c>
      <c r="J12" s="16" t="n">
        <v>1250</v>
      </c>
      <c r="K12" s="14" t="s">
        <v>128</v>
      </c>
      <c r="L12" s="14" t="s">
        <v>147</v>
      </c>
      <c r="M12" s="14" t="s">
        <v>239</v>
      </c>
      <c r="N12" s="16" t="n">
        <v>2</v>
      </c>
      <c r="O12" s="16" t="s">
        <v>221</v>
      </c>
      <c r="P12" s="12" t="n">
        <f aca="false">INDEX(Scale!$B$16:$B$26,MATCH(K12,Scale!$A$16:$A$26,0))</f>
        <v>6.3</v>
      </c>
      <c r="Q12" s="15" t="n">
        <f aca="false">I12/3+J12/350</f>
        <v>9.23809523809524</v>
      </c>
      <c r="R12" s="15" t="n">
        <f aca="false">I12/4.2+J12/500</f>
        <v>6.54761904761905</v>
      </c>
      <c r="S12" s="15" t="n">
        <f aca="false">2*F12+2*G12/60+2*H12/60+Q12+1</f>
        <v>13.6047619047619</v>
      </c>
      <c r="T12" s="15" t="n">
        <f aca="false">I12+J12/100</f>
        <v>29.5</v>
      </c>
      <c r="U12" s="12" t="n">
        <f aca="false">INDEX(Scale!$B$3:$B$12,MATCH(T12,Scale!$A$3:$A$12,1))</f>
        <v>7</v>
      </c>
      <c r="V12" s="12" t="n">
        <f aca="false">INDEX(Scale!$B$30:$B$38,MATCH(L12,Scale!$A$30:$A$38,0))</f>
        <v>0</v>
      </c>
      <c r="W12" s="17" t="n">
        <f aca="false">MAX(U12,V12)</f>
        <v>7</v>
      </c>
      <c r="X12" s="12" t="n">
        <f aca="false">IF(W12&lt;=3,1,IF(W12&lt;=5,2,IF(W12&lt;=7,3,IF(W12&lt;=8,4,5))))</f>
        <v>3</v>
      </c>
      <c r="Y12" s="13" t="str">
        <f aca="false">IF(S12&lt;=13,"1 day",IF(S12&lt;=15,"1 long day","2 days"))</f>
        <v>1 long day</v>
      </c>
      <c r="Z12" s="12" t="n">
        <f aca="false">ROUND(P12*130*Q12,-1)</f>
        <v>7570</v>
      </c>
      <c r="AA12" s="12" t="n">
        <f aca="false">ROUND(P12*120*Q12,-1)</f>
        <v>6980</v>
      </c>
      <c r="AB12" s="12" t="n">
        <f aca="false">ROUND(P12*110*Q12,-1)</f>
        <v>6400</v>
      </c>
      <c r="AC12" s="12" t="n">
        <f aca="false">ROUND(P12*100*Q12,-1)</f>
        <v>5820</v>
      </c>
      <c r="AD12" s="10" t="s">
        <v>246</v>
      </c>
      <c r="AE12" s="16"/>
      <c r="AF12" s="16"/>
      <c r="AG12" s="16"/>
    </row>
    <row r="13" customFormat="false" ht="15" hidden="false" customHeight="false" outlineLevel="0" collapsed="false">
      <c r="A13" s="12" t="n">
        <v>12</v>
      </c>
      <c r="B13" s="13" t="s">
        <v>218</v>
      </c>
      <c r="C13" s="10" t="s">
        <v>247</v>
      </c>
      <c r="D13" s="14" t="s">
        <v>65</v>
      </c>
      <c r="E13" s="14" t="s">
        <v>65</v>
      </c>
      <c r="F13" s="15" t="n">
        <f aca="false">MAX(IFERROR(INDEX(Stations!$B$2:$B$31,MATCH(D13,Stations!$A$2:$A$31,0)),0),IFERROR(INDEX(Stations!$B$2:$B$31,MATCH(E13,Stations!$A$2:$A$31,0)),0))</f>
        <v>1.6</v>
      </c>
      <c r="G13" s="16" t="n">
        <v>5</v>
      </c>
      <c r="H13" s="16" t="n">
        <v>0</v>
      </c>
      <c r="I13" s="16" t="n">
        <v>16</v>
      </c>
      <c r="J13" s="16" t="n">
        <v>1100</v>
      </c>
      <c r="K13" s="14" t="s">
        <v>128</v>
      </c>
      <c r="L13" s="14" t="s">
        <v>147</v>
      </c>
      <c r="M13" s="14" t="s">
        <v>239</v>
      </c>
      <c r="N13" s="16" t="n">
        <v>3</v>
      </c>
      <c r="O13" s="16" t="s">
        <v>226</v>
      </c>
      <c r="P13" s="12" t="n">
        <f aca="false">INDEX(Scale!$B$16:$B$26,MATCH(K13,Scale!$A$16:$A$26,0))</f>
        <v>6.3</v>
      </c>
      <c r="Q13" s="15" t="n">
        <f aca="false">I13/3+J13/350</f>
        <v>8.47619047619048</v>
      </c>
      <c r="R13" s="15" t="n">
        <f aca="false">I13/4.2+J13/500</f>
        <v>6.00952380952381</v>
      </c>
      <c r="S13" s="15" t="n">
        <f aca="false">2*F13+2*G13/60+2*H13/60+Q13+1</f>
        <v>12.8428571428571</v>
      </c>
      <c r="T13" s="15" t="n">
        <f aca="false">I13+J13/100</f>
        <v>27</v>
      </c>
      <c r="U13" s="12" t="n">
        <f aca="false">INDEX(Scale!$B$3:$B$12,MATCH(T13,Scale!$A$3:$A$12,1))</f>
        <v>7</v>
      </c>
      <c r="V13" s="12" t="n">
        <f aca="false">INDEX(Scale!$B$30:$B$38,MATCH(L13,Scale!$A$30:$A$38,0))</f>
        <v>0</v>
      </c>
      <c r="W13" s="17" t="n">
        <f aca="false">MAX(U13,V13)</f>
        <v>7</v>
      </c>
      <c r="X13" s="12" t="n">
        <f aca="false">IF(W13&lt;=3,1,IF(W13&lt;=5,2,IF(W13&lt;=7,3,IF(W13&lt;=8,4,5))))</f>
        <v>3</v>
      </c>
      <c r="Y13" s="13" t="str">
        <f aca="false">IF(S13&lt;=13,"1 day",IF(S13&lt;=15,"1 long day","2 days"))</f>
        <v>1 day</v>
      </c>
      <c r="Z13" s="12" t="n">
        <f aca="false">ROUND(P13*130*Q13,-1)</f>
        <v>6940</v>
      </c>
      <c r="AA13" s="12" t="n">
        <f aca="false">ROUND(P13*120*Q13,-1)</f>
        <v>6410</v>
      </c>
      <c r="AB13" s="12" t="n">
        <f aca="false">ROUND(P13*110*Q13,-1)</f>
        <v>5870</v>
      </c>
      <c r="AC13" s="12" t="n">
        <f aca="false">ROUND(P13*100*Q13,-1)</f>
        <v>5340</v>
      </c>
      <c r="AD13" s="10" t="s">
        <v>248</v>
      </c>
      <c r="AE13" s="16"/>
      <c r="AF13" s="16"/>
      <c r="AG13" s="16"/>
    </row>
    <row r="14" customFormat="false" ht="15" hidden="false" customHeight="false" outlineLevel="0" collapsed="false">
      <c r="A14" s="12" t="n">
        <v>13</v>
      </c>
      <c r="B14" s="13" t="s">
        <v>218</v>
      </c>
      <c r="C14" s="10" t="s">
        <v>249</v>
      </c>
      <c r="D14" s="14" t="s">
        <v>65</v>
      </c>
      <c r="E14" s="14" t="s">
        <v>65</v>
      </c>
      <c r="F14" s="15" t="n">
        <f aca="false">MAX(IFERROR(INDEX(Stations!$B$2:$B$31,MATCH(D14,Stations!$A$2:$A$31,0)),0),IFERROR(INDEX(Stations!$B$2:$B$31,MATCH(E14,Stations!$A$2:$A$31,0)),0))</f>
        <v>1.6</v>
      </c>
      <c r="G14" s="16" t="n">
        <v>0</v>
      </c>
      <c r="H14" s="16" t="n">
        <v>0</v>
      </c>
      <c r="I14" s="16" t="n">
        <v>15</v>
      </c>
      <c r="J14" s="16" t="n">
        <v>1100</v>
      </c>
      <c r="K14" s="14" t="s">
        <v>128</v>
      </c>
      <c r="L14" s="14" t="s">
        <v>147</v>
      </c>
      <c r="M14" s="14" t="s">
        <v>239</v>
      </c>
      <c r="N14" s="16" t="n">
        <v>3</v>
      </c>
      <c r="O14" s="16" t="s">
        <v>226</v>
      </c>
      <c r="P14" s="12" t="n">
        <f aca="false">INDEX(Scale!$B$16:$B$26,MATCH(K14,Scale!$A$16:$A$26,0))</f>
        <v>6.3</v>
      </c>
      <c r="Q14" s="15" t="n">
        <f aca="false">I14/3+J14/350</f>
        <v>8.14285714285714</v>
      </c>
      <c r="R14" s="15" t="n">
        <f aca="false">I14/4.2+J14/500</f>
        <v>5.77142857142857</v>
      </c>
      <c r="S14" s="15" t="n">
        <f aca="false">2*F14+2*G14/60+2*H14/60+Q14+1</f>
        <v>12.3428571428571</v>
      </c>
      <c r="T14" s="15" t="n">
        <f aca="false">I14+J14/100</f>
        <v>26</v>
      </c>
      <c r="U14" s="12" t="n">
        <f aca="false">INDEX(Scale!$B$3:$B$12,MATCH(T14,Scale!$A$3:$A$12,1))</f>
        <v>6</v>
      </c>
      <c r="V14" s="12" t="n">
        <f aca="false">INDEX(Scale!$B$30:$B$38,MATCH(L14,Scale!$A$30:$A$38,0))</f>
        <v>0</v>
      </c>
      <c r="W14" s="17" t="n">
        <f aca="false">MAX(U14,V14)</f>
        <v>6</v>
      </c>
      <c r="X14" s="12" t="n">
        <f aca="false">IF(W14&lt;=3,1,IF(W14&lt;=5,2,IF(W14&lt;=7,3,IF(W14&lt;=8,4,5))))</f>
        <v>3</v>
      </c>
      <c r="Y14" s="13" t="str">
        <f aca="false">IF(S14&lt;=13,"1 day",IF(S14&lt;=15,"1 long day","2 days"))</f>
        <v>1 day</v>
      </c>
      <c r="Z14" s="12" t="n">
        <f aca="false">ROUND(P14*130*Q14,-1)</f>
        <v>6670</v>
      </c>
      <c r="AA14" s="12" t="n">
        <f aca="false">ROUND(P14*120*Q14,-1)</f>
        <v>6160</v>
      </c>
      <c r="AB14" s="12" t="n">
        <f aca="false">ROUND(P14*110*Q14,-1)</f>
        <v>5640</v>
      </c>
      <c r="AC14" s="12" t="n">
        <f aca="false">ROUND(P14*100*Q14,-1)</f>
        <v>5130</v>
      </c>
      <c r="AD14" s="10" t="s">
        <v>250</v>
      </c>
      <c r="AE14" s="16"/>
      <c r="AF14" s="16"/>
      <c r="AG14" s="16"/>
    </row>
    <row r="15" customFormat="false" ht="15" hidden="false" customHeight="false" outlineLevel="0" collapsed="false">
      <c r="A15" s="12" t="n">
        <v>14</v>
      </c>
      <c r="B15" s="13" t="s">
        <v>218</v>
      </c>
      <c r="C15" s="10" t="s">
        <v>251</v>
      </c>
      <c r="D15" s="14" t="s">
        <v>65</v>
      </c>
      <c r="E15" s="14" t="s">
        <v>65</v>
      </c>
      <c r="F15" s="15" t="n">
        <f aca="false">MAX(IFERROR(INDEX(Stations!$B$2:$B$31,MATCH(D15,Stations!$A$2:$A$31,0)),0),IFERROR(INDEX(Stations!$B$2:$B$31,MATCH(E15,Stations!$A$2:$A$31,0)),0))</f>
        <v>1.6</v>
      </c>
      <c r="G15" s="16" t="n">
        <v>20</v>
      </c>
      <c r="H15" s="16" t="n">
        <v>0</v>
      </c>
      <c r="I15" s="16" t="n">
        <v>11</v>
      </c>
      <c r="J15" s="16" t="n">
        <v>600</v>
      </c>
      <c r="K15" s="14" t="s">
        <v>126</v>
      </c>
      <c r="L15" s="14" t="s">
        <v>147</v>
      </c>
      <c r="M15" s="14" t="s">
        <v>234</v>
      </c>
      <c r="N15" s="16" t="n">
        <v>5</v>
      </c>
      <c r="O15" s="16" t="s">
        <v>252</v>
      </c>
      <c r="P15" s="12" t="n">
        <f aca="false">INDEX(Scale!$B$16:$B$26,MATCH(K15,Scale!$A$16:$A$26,0))</f>
        <v>5.5</v>
      </c>
      <c r="Q15" s="15" t="n">
        <f aca="false">I15/3+J15/350</f>
        <v>5.38095238095238</v>
      </c>
      <c r="R15" s="15" t="n">
        <f aca="false">I15/4.2+J15/500</f>
        <v>3.81904761904762</v>
      </c>
      <c r="S15" s="15" t="n">
        <f aca="false">2*F15+2*G15/60+2*H15/60+Q15+1</f>
        <v>10.247619047619</v>
      </c>
      <c r="T15" s="15" t="n">
        <f aca="false">I15+J15/100</f>
        <v>17</v>
      </c>
      <c r="U15" s="12" t="n">
        <f aca="false">INDEX(Scale!$B$3:$B$12,MATCH(T15,Scale!$A$3:$A$12,1))</f>
        <v>5</v>
      </c>
      <c r="V15" s="12" t="n">
        <f aca="false">INDEX(Scale!$B$30:$B$38,MATCH(L15,Scale!$A$30:$A$38,0))</f>
        <v>0</v>
      </c>
      <c r="W15" s="17" t="n">
        <f aca="false">MAX(U15,V15)</f>
        <v>5</v>
      </c>
      <c r="X15" s="12" t="n">
        <f aca="false">IF(W15&lt;=3,1,IF(W15&lt;=5,2,IF(W15&lt;=7,3,IF(W15&lt;=8,4,5))))</f>
        <v>2</v>
      </c>
      <c r="Y15" s="13" t="str">
        <f aca="false">IF(S15&lt;=13,"1 day",IF(S15&lt;=15,"1 long day","2 days"))</f>
        <v>1 day</v>
      </c>
      <c r="Z15" s="12" t="n">
        <f aca="false">ROUND(P15*130*Q15,-1)</f>
        <v>3850</v>
      </c>
      <c r="AA15" s="12" t="n">
        <f aca="false">ROUND(P15*120*Q15,-1)</f>
        <v>3550</v>
      </c>
      <c r="AB15" s="12" t="n">
        <f aca="false">ROUND(P15*110*Q15,-1)</f>
        <v>3260</v>
      </c>
      <c r="AC15" s="12" t="n">
        <f aca="false">ROUND(P15*100*Q15,-1)</f>
        <v>2960</v>
      </c>
      <c r="AD15" s="10" t="s">
        <v>253</v>
      </c>
      <c r="AE15" s="16"/>
      <c r="AF15" s="16"/>
      <c r="AG15" s="16"/>
    </row>
    <row r="16" customFormat="false" ht="15" hidden="false" customHeight="false" outlineLevel="0" collapsed="false">
      <c r="A16" s="12" t="n">
        <v>15</v>
      </c>
      <c r="B16" s="13" t="s">
        <v>218</v>
      </c>
      <c r="C16" s="10" t="s">
        <v>254</v>
      </c>
      <c r="D16" s="14" t="s">
        <v>65</v>
      </c>
      <c r="E16" s="14" t="s">
        <v>65</v>
      </c>
      <c r="F16" s="15" t="n">
        <f aca="false">MAX(IFERROR(INDEX(Stations!$B$2:$B$31,MATCH(D16,Stations!$A$2:$A$31,0)),0),IFERROR(INDEX(Stations!$B$2:$B$31,MATCH(E16,Stations!$A$2:$A$31,0)),0))</f>
        <v>1.6</v>
      </c>
      <c r="G16" s="16" t="n">
        <v>20</v>
      </c>
      <c r="H16" s="16" t="n">
        <v>0</v>
      </c>
      <c r="I16" s="16" t="n">
        <v>9</v>
      </c>
      <c r="J16" s="16" t="n">
        <v>500</v>
      </c>
      <c r="K16" s="14" t="s">
        <v>126</v>
      </c>
      <c r="L16" s="14" t="s">
        <v>147</v>
      </c>
      <c r="M16" s="14" t="s">
        <v>234</v>
      </c>
      <c r="N16" s="16" t="n">
        <v>5</v>
      </c>
      <c r="O16" s="16" t="s">
        <v>252</v>
      </c>
      <c r="P16" s="12" t="n">
        <f aca="false">INDEX(Scale!$B$16:$B$26,MATCH(K16,Scale!$A$16:$A$26,0))</f>
        <v>5.5</v>
      </c>
      <c r="Q16" s="15" t="n">
        <f aca="false">I16/3+J16/350</f>
        <v>4.42857142857143</v>
      </c>
      <c r="R16" s="15" t="n">
        <f aca="false">I16/4.2+J16/500</f>
        <v>3.14285714285714</v>
      </c>
      <c r="S16" s="15" t="n">
        <f aca="false">2*F16+2*G16/60+2*H16/60+Q16+1</f>
        <v>9.2952380952381</v>
      </c>
      <c r="T16" s="15" t="n">
        <f aca="false">I16+J16/100</f>
        <v>14</v>
      </c>
      <c r="U16" s="12" t="n">
        <f aca="false">INDEX(Scale!$B$3:$B$12,MATCH(T16,Scale!$A$3:$A$12,1))</f>
        <v>4</v>
      </c>
      <c r="V16" s="12" t="n">
        <f aca="false">INDEX(Scale!$B$30:$B$38,MATCH(L16,Scale!$A$30:$A$38,0))</f>
        <v>0</v>
      </c>
      <c r="W16" s="17" t="n">
        <f aca="false">MAX(U16,V16)</f>
        <v>4</v>
      </c>
      <c r="X16" s="12" t="n">
        <f aca="false">IF(W16&lt;=3,1,IF(W16&lt;=5,2,IF(W16&lt;=7,3,IF(W16&lt;=8,4,5))))</f>
        <v>2</v>
      </c>
      <c r="Y16" s="13" t="str">
        <f aca="false">IF(S16&lt;=13,"1 day",IF(S16&lt;=15,"1 long day","2 days"))</f>
        <v>1 day</v>
      </c>
      <c r="Z16" s="12" t="n">
        <f aca="false">ROUND(P16*130*Q16,-1)</f>
        <v>3170</v>
      </c>
      <c r="AA16" s="12" t="n">
        <f aca="false">ROUND(P16*120*Q16,-1)</f>
        <v>2920</v>
      </c>
      <c r="AB16" s="12" t="n">
        <f aca="false">ROUND(P16*110*Q16,-1)</f>
        <v>2680</v>
      </c>
      <c r="AC16" s="12" t="n">
        <f aca="false">ROUND(P16*100*Q16,-1)</f>
        <v>2440</v>
      </c>
      <c r="AD16" s="10" t="s">
        <v>255</v>
      </c>
      <c r="AE16" s="16"/>
      <c r="AF16" s="16"/>
      <c r="AG16" s="16"/>
    </row>
    <row r="17" customFormat="false" ht="15" hidden="false" customHeight="false" outlineLevel="0" collapsed="false">
      <c r="A17" s="12" t="n">
        <v>16</v>
      </c>
      <c r="B17" s="13" t="s">
        <v>218</v>
      </c>
      <c r="C17" s="10" t="s">
        <v>256</v>
      </c>
      <c r="D17" s="14" t="s">
        <v>65</v>
      </c>
      <c r="E17" s="14" t="s">
        <v>65</v>
      </c>
      <c r="F17" s="15" t="n">
        <f aca="false">MAX(IFERROR(INDEX(Stations!$B$2:$B$31,MATCH(D17,Stations!$A$2:$A$31,0)),0),IFERROR(INDEX(Stations!$B$2:$B$31,MATCH(E17,Stations!$A$2:$A$31,0)),0))</f>
        <v>1.6</v>
      </c>
      <c r="G17" s="16" t="n">
        <v>5</v>
      </c>
      <c r="H17" s="16" t="n">
        <v>0</v>
      </c>
      <c r="I17" s="16" t="n">
        <v>20</v>
      </c>
      <c r="J17" s="16" t="n">
        <v>1400</v>
      </c>
      <c r="K17" s="14" t="s">
        <v>128</v>
      </c>
      <c r="L17" s="14" t="s">
        <v>147</v>
      </c>
      <c r="M17" s="14" t="s">
        <v>239</v>
      </c>
      <c r="N17" s="16" t="n">
        <v>2</v>
      </c>
      <c r="O17" s="16" t="s">
        <v>226</v>
      </c>
      <c r="P17" s="12" t="n">
        <f aca="false">INDEX(Scale!$B$16:$B$26,MATCH(K17,Scale!$A$16:$A$26,0))</f>
        <v>6.3</v>
      </c>
      <c r="Q17" s="15" t="n">
        <f aca="false">I17/3+J17/350</f>
        <v>10.6666666666667</v>
      </c>
      <c r="R17" s="15" t="n">
        <f aca="false">I17/4.2+J17/500</f>
        <v>7.56190476190476</v>
      </c>
      <c r="S17" s="15" t="n">
        <f aca="false">2*F17+2*G17/60+2*H17/60+Q17+1</f>
        <v>15.0333333333333</v>
      </c>
      <c r="T17" s="15" t="n">
        <f aca="false">I17+J17/100</f>
        <v>34</v>
      </c>
      <c r="U17" s="12" t="n">
        <f aca="false">INDEX(Scale!$B$3:$B$12,MATCH(T17,Scale!$A$3:$A$12,1))</f>
        <v>8</v>
      </c>
      <c r="V17" s="12" t="n">
        <f aca="false">INDEX(Scale!$B$30:$B$38,MATCH(L17,Scale!$A$30:$A$38,0))</f>
        <v>0</v>
      </c>
      <c r="W17" s="17" t="n">
        <f aca="false">MAX(U17,V17)</f>
        <v>8</v>
      </c>
      <c r="X17" s="12" t="n">
        <f aca="false">IF(W17&lt;=3,1,IF(W17&lt;=5,2,IF(W17&lt;=7,3,IF(W17&lt;=8,4,5))))</f>
        <v>4</v>
      </c>
      <c r="Y17" s="13" t="str">
        <f aca="false">IF(S17&lt;=13,"1 day",IF(S17&lt;=15,"1 long day","2 days"))</f>
        <v>2 days</v>
      </c>
      <c r="Z17" s="12" t="n">
        <f aca="false">ROUND(P17*130*Q17,-1)</f>
        <v>8740</v>
      </c>
      <c r="AA17" s="12" t="n">
        <f aca="false">ROUND(P17*120*Q17,-1)</f>
        <v>8060</v>
      </c>
      <c r="AB17" s="12" t="n">
        <f aca="false">ROUND(P17*110*Q17,-1)</f>
        <v>7390</v>
      </c>
      <c r="AC17" s="12" t="n">
        <f aca="false">ROUND(P17*100*Q17,-1)</f>
        <v>6720</v>
      </c>
      <c r="AD17" s="10" t="s">
        <v>257</v>
      </c>
      <c r="AE17" s="16"/>
      <c r="AF17" s="16"/>
      <c r="AG17" s="16"/>
    </row>
    <row r="18" customFormat="false" ht="15" hidden="false" customHeight="false" outlineLevel="0" collapsed="false">
      <c r="A18" s="12" t="n">
        <v>17</v>
      </c>
      <c r="B18" s="13" t="s">
        <v>218</v>
      </c>
      <c r="C18" s="10" t="s">
        <v>258</v>
      </c>
      <c r="D18" s="14" t="s">
        <v>65</v>
      </c>
      <c r="E18" s="14" t="s">
        <v>66</v>
      </c>
      <c r="F18" s="15" t="n">
        <f aca="false">MAX(IFERROR(INDEX(Stations!$B$2:$B$31,MATCH(D18,Stations!$A$2:$A$31,0)),0),IFERROR(INDEX(Stations!$B$2:$B$31,MATCH(E18,Stations!$A$2:$A$31,0)),0))</f>
        <v>1.8</v>
      </c>
      <c r="G18" s="16" t="n">
        <v>5</v>
      </c>
      <c r="H18" s="16" t="n">
        <v>0</v>
      </c>
      <c r="I18" s="16" t="n">
        <v>21</v>
      </c>
      <c r="J18" s="16" t="n">
        <v>1250</v>
      </c>
      <c r="K18" s="14" t="s">
        <v>130</v>
      </c>
      <c r="L18" s="14" t="s">
        <v>149</v>
      </c>
      <c r="M18" s="14" t="s">
        <v>239</v>
      </c>
      <c r="N18" s="16" t="n">
        <v>3</v>
      </c>
      <c r="O18" s="16" t="s">
        <v>226</v>
      </c>
      <c r="P18" s="12" t="n">
        <f aca="false">INDEX(Scale!$B$16:$B$26,MATCH(K18,Scale!$A$16:$A$26,0))</f>
        <v>7</v>
      </c>
      <c r="Q18" s="15" t="n">
        <f aca="false">I18/3+J18/350</f>
        <v>10.5714285714286</v>
      </c>
      <c r="R18" s="15" t="n">
        <f aca="false">I18/4.2+J18/500</f>
        <v>7.5</v>
      </c>
      <c r="S18" s="15" t="n">
        <f aca="false">2*F18+2*G18/60+2*H18/60+Q18+1</f>
        <v>15.3380952380952</v>
      </c>
      <c r="T18" s="15" t="n">
        <f aca="false">I18+J18/100</f>
        <v>33.5</v>
      </c>
      <c r="U18" s="12" t="n">
        <f aca="false">INDEX(Scale!$B$3:$B$12,MATCH(T18,Scale!$A$3:$A$12,1))</f>
        <v>7</v>
      </c>
      <c r="V18" s="12" t="n">
        <f aca="false">INDEX(Scale!$B$30:$B$38,MATCH(L18,Scale!$A$30:$A$38,0))</f>
        <v>3</v>
      </c>
      <c r="W18" s="17" t="n">
        <f aca="false">MAX(U18,V18)</f>
        <v>7</v>
      </c>
      <c r="X18" s="12" t="n">
        <f aca="false">IF(W18&lt;=3,1,IF(W18&lt;=5,2,IF(W18&lt;=7,3,IF(W18&lt;=8,4,5))))</f>
        <v>3</v>
      </c>
      <c r="Y18" s="13" t="str">
        <f aca="false">IF(S18&lt;=13,"1 day",IF(S18&lt;=15,"1 long day","2 days"))</f>
        <v>2 days</v>
      </c>
      <c r="Z18" s="12" t="n">
        <f aca="false">ROUND(P18*130*Q18,-1)</f>
        <v>9620</v>
      </c>
      <c r="AA18" s="12" t="n">
        <f aca="false">ROUND(P18*120*Q18,-1)</f>
        <v>8880</v>
      </c>
      <c r="AB18" s="12" t="n">
        <f aca="false">ROUND(P18*110*Q18,-1)</f>
        <v>8140</v>
      </c>
      <c r="AC18" s="12" t="n">
        <f aca="false">ROUND(P18*100*Q18,-1)</f>
        <v>7400</v>
      </c>
      <c r="AD18" s="10" t="s">
        <v>259</v>
      </c>
      <c r="AE18" s="16"/>
      <c r="AF18" s="16"/>
      <c r="AG18" s="16"/>
    </row>
    <row r="19" customFormat="false" ht="15" hidden="false" customHeight="false" outlineLevel="0" collapsed="false">
      <c r="A19" s="12" t="n">
        <v>18</v>
      </c>
      <c r="B19" s="13" t="s">
        <v>218</v>
      </c>
      <c r="C19" s="10" t="s">
        <v>260</v>
      </c>
      <c r="D19" s="14" t="s">
        <v>65</v>
      </c>
      <c r="E19" s="14" t="s">
        <v>65</v>
      </c>
      <c r="F19" s="15" t="n">
        <f aca="false">MAX(IFERROR(INDEX(Stations!$B$2:$B$31,MATCH(D19,Stations!$A$2:$A$31,0)),0),IFERROR(INDEX(Stations!$B$2:$B$31,MATCH(E19,Stations!$A$2:$A$31,0)),0))</f>
        <v>1.6</v>
      </c>
      <c r="G19" s="16" t="n">
        <v>5</v>
      </c>
      <c r="H19" s="16" t="n">
        <v>0</v>
      </c>
      <c r="I19" s="16" t="n">
        <v>12</v>
      </c>
      <c r="J19" s="16" t="n">
        <v>750</v>
      </c>
      <c r="K19" s="14" t="s">
        <v>126</v>
      </c>
      <c r="L19" s="14" t="s">
        <v>147</v>
      </c>
      <c r="M19" s="14" t="s">
        <v>231</v>
      </c>
      <c r="N19" s="16" t="n">
        <v>4</v>
      </c>
      <c r="O19" s="16" t="s">
        <v>226</v>
      </c>
      <c r="P19" s="12" t="n">
        <f aca="false">INDEX(Scale!$B$16:$B$26,MATCH(K19,Scale!$A$16:$A$26,0))</f>
        <v>5.5</v>
      </c>
      <c r="Q19" s="15" t="n">
        <f aca="false">I19/3+J19/350</f>
        <v>6.14285714285714</v>
      </c>
      <c r="R19" s="15" t="n">
        <f aca="false">I19/4.2+J19/500</f>
        <v>4.35714285714286</v>
      </c>
      <c r="S19" s="15" t="n">
        <f aca="false">2*F19+2*G19/60+2*H19/60+Q19+1</f>
        <v>10.5095238095238</v>
      </c>
      <c r="T19" s="15" t="n">
        <f aca="false">I19+J19/100</f>
        <v>19.5</v>
      </c>
      <c r="U19" s="12" t="n">
        <f aca="false">INDEX(Scale!$B$3:$B$12,MATCH(T19,Scale!$A$3:$A$12,1))</f>
        <v>5</v>
      </c>
      <c r="V19" s="12" t="n">
        <f aca="false">INDEX(Scale!$B$30:$B$38,MATCH(L19,Scale!$A$30:$A$38,0))</f>
        <v>0</v>
      </c>
      <c r="W19" s="17" t="n">
        <f aca="false">MAX(U19,V19)</f>
        <v>5</v>
      </c>
      <c r="X19" s="12" t="n">
        <f aca="false">IF(W19&lt;=3,1,IF(W19&lt;=5,2,IF(W19&lt;=7,3,IF(W19&lt;=8,4,5))))</f>
        <v>2</v>
      </c>
      <c r="Y19" s="13" t="str">
        <f aca="false">IF(S19&lt;=13,"1 day",IF(S19&lt;=15,"1 long day","2 days"))</f>
        <v>1 day</v>
      </c>
      <c r="Z19" s="12" t="n">
        <f aca="false">ROUND(P19*130*Q19,-1)</f>
        <v>4390</v>
      </c>
      <c r="AA19" s="12" t="n">
        <f aca="false">ROUND(P19*120*Q19,-1)</f>
        <v>4050</v>
      </c>
      <c r="AB19" s="12" t="n">
        <f aca="false">ROUND(P19*110*Q19,-1)</f>
        <v>3720</v>
      </c>
      <c r="AC19" s="12" t="n">
        <f aca="false">ROUND(P19*100*Q19,-1)</f>
        <v>3380</v>
      </c>
      <c r="AD19" s="10" t="s">
        <v>261</v>
      </c>
      <c r="AE19" s="16"/>
      <c r="AF19" s="16"/>
      <c r="AG19" s="16"/>
    </row>
    <row r="20" customFormat="false" ht="15" hidden="false" customHeight="false" outlineLevel="0" collapsed="false">
      <c r="A20" s="12" t="n">
        <v>19</v>
      </c>
      <c r="B20" s="13" t="s">
        <v>218</v>
      </c>
      <c r="C20" s="10" t="s">
        <v>262</v>
      </c>
      <c r="D20" s="14" t="s">
        <v>65</v>
      </c>
      <c r="E20" s="14" t="s">
        <v>65</v>
      </c>
      <c r="F20" s="15" t="n">
        <f aca="false">MAX(IFERROR(INDEX(Stations!$B$2:$B$31,MATCH(D20,Stations!$A$2:$A$31,0)),0),IFERROR(INDEX(Stations!$B$2:$B$31,MATCH(E20,Stations!$A$2:$A$31,0)),0))</f>
        <v>1.6</v>
      </c>
      <c r="G20" s="16" t="n">
        <v>0</v>
      </c>
      <c r="H20" s="16" t="n">
        <v>0</v>
      </c>
      <c r="I20" s="16" t="n">
        <v>10</v>
      </c>
      <c r="J20" s="16" t="n">
        <v>800</v>
      </c>
      <c r="K20" s="14" t="s">
        <v>126</v>
      </c>
      <c r="L20" s="14" t="s">
        <v>147</v>
      </c>
      <c r="M20" s="14" t="s">
        <v>231</v>
      </c>
      <c r="N20" s="16" t="n">
        <v>3</v>
      </c>
      <c r="O20" s="16" t="s">
        <v>226</v>
      </c>
      <c r="P20" s="12" t="n">
        <f aca="false">INDEX(Scale!$B$16:$B$26,MATCH(K20,Scale!$A$16:$A$26,0))</f>
        <v>5.5</v>
      </c>
      <c r="Q20" s="15" t="n">
        <f aca="false">I20/3+J20/350</f>
        <v>5.61904761904762</v>
      </c>
      <c r="R20" s="15" t="n">
        <f aca="false">I20/4.2+J20/500</f>
        <v>3.98095238095238</v>
      </c>
      <c r="S20" s="15" t="n">
        <f aca="false">2*F20+2*G20/60+2*H20/60+Q20+1</f>
        <v>9.81904761904762</v>
      </c>
      <c r="T20" s="15" t="n">
        <f aca="false">I20+J20/100</f>
        <v>18</v>
      </c>
      <c r="U20" s="12" t="n">
        <f aca="false">INDEX(Scale!$B$3:$B$12,MATCH(T20,Scale!$A$3:$A$12,1))</f>
        <v>5</v>
      </c>
      <c r="V20" s="12" t="n">
        <f aca="false">INDEX(Scale!$B$30:$B$38,MATCH(L20,Scale!$A$30:$A$38,0))</f>
        <v>0</v>
      </c>
      <c r="W20" s="17" t="n">
        <f aca="false">MAX(U20,V20)</f>
        <v>5</v>
      </c>
      <c r="X20" s="12" t="n">
        <f aca="false">IF(W20&lt;=3,1,IF(W20&lt;=5,2,IF(W20&lt;=7,3,IF(W20&lt;=8,4,5))))</f>
        <v>2</v>
      </c>
      <c r="Y20" s="13" t="str">
        <f aca="false">IF(S20&lt;=13,"1 day",IF(S20&lt;=15,"1 long day","2 days"))</f>
        <v>1 day</v>
      </c>
      <c r="Z20" s="12" t="n">
        <f aca="false">ROUND(P20*130*Q20,-1)</f>
        <v>4020</v>
      </c>
      <c r="AA20" s="12" t="n">
        <f aca="false">ROUND(P20*120*Q20,-1)</f>
        <v>3710</v>
      </c>
      <c r="AB20" s="12" t="n">
        <f aca="false">ROUND(P20*110*Q20,-1)</f>
        <v>3400</v>
      </c>
      <c r="AC20" s="12" t="n">
        <f aca="false">ROUND(P20*100*Q20,-1)</f>
        <v>3090</v>
      </c>
      <c r="AD20" s="10" t="s">
        <v>263</v>
      </c>
      <c r="AE20" s="16"/>
      <c r="AF20" s="16"/>
      <c r="AG20" s="16"/>
    </row>
    <row r="21" customFormat="false" ht="15" hidden="false" customHeight="false" outlineLevel="0" collapsed="false">
      <c r="A21" s="12" t="n">
        <v>20</v>
      </c>
      <c r="B21" s="13" t="s">
        <v>218</v>
      </c>
      <c r="C21" s="10" t="s">
        <v>264</v>
      </c>
      <c r="D21" s="14" t="s">
        <v>65</v>
      </c>
      <c r="E21" s="14" t="s">
        <v>65</v>
      </c>
      <c r="F21" s="15" t="n">
        <f aca="false">MAX(IFERROR(INDEX(Stations!$B$2:$B$31,MATCH(D21,Stations!$A$2:$A$31,0)),0),IFERROR(INDEX(Stations!$B$2:$B$31,MATCH(E21,Stations!$A$2:$A$31,0)),0))</f>
        <v>1.6</v>
      </c>
      <c r="G21" s="16" t="n">
        <v>5</v>
      </c>
      <c r="H21" s="16" t="n">
        <v>0</v>
      </c>
      <c r="I21" s="16" t="n">
        <v>18</v>
      </c>
      <c r="J21" s="16" t="n">
        <v>1250</v>
      </c>
      <c r="K21" s="14" t="s">
        <v>128</v>
      </c>
      <c r="L21" s="14" t="s">
        <v>147</v>
      </c>
      <c r="M21" s="14" t="s">
        <v>239</v>
      </c>
      <c r="N21" s="16" t="n">
        <v>2</v>
      </c>
      <c r="O21" s="16" t="s">
        <v>226</v>
      </c>
      <c r="P21" s="12" t="n">
        <f aca="false">INDEX(Scale!$B$16:$B$26,MATCH(K21,Scale!$A$16:$A$26,0))</f>
        <v>6.3</v>
      </c>
      <c r="Q21" s="15" t="n">
        <f aca="false">I21/3+J21/350</f>
        <v>9.57142857142857</v>
      </c>
      <c r="R21" s="15" t="n">
        <f aca="false">I21/4.2+J21/500</f>
        <v>6.78571428571429</v>
      </c>
      <c r="S21" s="15" t="n">
        <f aca="false">2*F21+2*G21/60+2*H21/60+Q21+1</f>
        <v>13.9380952380952</v>
      </c>
      <c r="T21" s="15" t="n">
        <f aca="false">I21+J21/100</f>
        <v>30.5</v>
      </c>
      <c r="U21" s="12" t="n">
        <f aca="false">INDEX(Scale!$B$3:$B$12,MATCH(T21,Scale!$A$3:$A$12,1))</f>
        <v>7</v>
      </c>
      <c r="V21" s="12" t="n">
        <f aca="false">INDEX(Scale!$B$30:$B$38,MATCH(L21,Scale!$A$30:$A$38,0))</f>
        <v>0</v>
      </c>
      <c r="W21" s="17" t="n">
        <f aca="false">MAX(U21,V21)</f>
        <v>7</v>
      </c>
      <c r="X21" s="12" t="n">
        <f aca="false">IF(W21&lt;=3,1,IF(W21&lt;=5,2,IF(W21&lt;=7,3,IF(W21&lt;=8,4,5))))</f>
        <v>3</v>
      </c>
      <c r="Y21" s="13" t="str">
        <f aca="false">IF(S21&lt;=13,"1 day",IF(S21&lt;=15,"1 long day","2 days"))</f>
        <v>1 long day</v>
      </c>
      <c r="Z21" s="12" t="n">
        <f aca="false">ROUND(P21*130*Q21,-1)</f>
        <v>7840</v>
      </c>
      <c r="AA21" s="12" t="n">
        <f aca="false">ROUND(P21*120*Q21,-1)</f>
        <v>7240</v>
      </c>
      <c r="AB21" s="12" t="n">
        <f aca="false">ROUND(P21*110*Q21,-1)</f>
        <v>6630</v>
      </c>
      <c r="AC21" s="12" t="n">
        <f aca="false">ROUND(P21*100*Q21,-1)</f>
        <v>6030</v>
      </c>
      <c r="AD21" s="10" t="s">
        <v>265</v>
      </c>
      <c r="AE21" s="16"/>
      <c r="AF21" s="16"/>
      <c r="AG21" s="16"/>
    </row>
    <row r="22" customFormat="false" ht="15" hidden="false" customHeight="false" outlineLevel="0" collapsed="false">
      <c r="A22" s="12" t="n">
        <v>21</v>
      </c>
      <c r="B22" s="13" t="s">
        <v>266</v>
      </c>
      <c r="C22" s="10" t="s">
        <v>267</v>
      </c>
      <c r="D22" s="14" t="s">
        <v>65</v>
      </c>
      <c r="E22" s="14" t="s">
        <v>65</v>
      </c>
      <c r="F22" s="15" t="n">
        <f aca="false">MAX(IFERROR(INDEX(Stations!$B$2:$B$31,MATCH(D22,Stations!$A$2:$A$31,0)),0),IFERROR(INDEX(Stations!$B$2:$B$31,MATCH(E22,Stations!$A$2:$A$31,0)),0))</f>
        <v>1.6</v>
      </c>
      <c r="G22" s="16" t="n">
        <v>15</v>
      </c>
      <c r="H22" s="16" t="n">
        <v>0</v>
      </c>
      <c r="I22" s="16" t="n">
        <v>14</v>
      </c>
      <c r="J22" s="16" t="n">
        <v>900</v>
      </c>
      <c r="K22" s="14" t="s">
        <v>128</v>
      </c>
      <c r="L22" s="14" t="s">
        <v>147</v>
      </c>
      <c r="M22" s="14" t="s">
        <v>234</v>
      </c>
      <c r="N22" s="16" t="n">
        <v>5</v>
      </c>
      <c r="O22" s="16" t="s">
        <v>226</v>
      </c>
      <c r="P22" s="12" t="n">
        <f aca="false">INDEX(Scale!$B$16:$B$26,MATCH(K22,Scale!$A$16:$A$26,0))</f>
        <v>6.3</v>
      </c>
      <c r="Q22" s="15" t="n">
        <f aca="false">I22/3+J22/350</f>
        <v>7.23809523809524</v>
      </c>
      <c r="R22" s="15" t="n">
        <f aca="false">I22/4.2+J22/500</f>
        <v>5.13333333333333</v>
      </c>
      <c r="S22" s="15" t="n">
        <f aca="false">2*F22+2*G22/60+2*H22/60+Q22+1</f>
        <v>11.9380952380952</v>
      </c>
      <c r="T22" s="15" t="n">
        <f aca="false">I22+J22/100</f>
        <v>23</v>
      </c>
      <c r="U22" s="12" t="n">
        <f aca="false">INDEX(Scale!$B$3:$B$12,MATCH(T22,Scale!$A$3:$A$12,1))</f>
        <v>6</v>
      </c>
      <c r="V22" s="12" t="n">
        <f aca="false">INDEX(Scale!$B$30:$B$38,MATCH(L22,Scale!$A$30:$A$38,0))</f>
        <v>0</v>
      </c>
      <c r="W22" s="17" t="n">
        <f aca="false">MAX(U22,V22)</f>
        <v>6</v>
      </c>
      <c r="X22" s="12" t="n">
        <f aca="false">IF(W22&lt;=3,1,IF(W22&lt;=5,2,IF(W22&lt;=7,3,IF(W22&lt;=8,4,5))))</f>
        <v>3</v>
      </c>
      <c r="Y22" s="13" t="str">
        <f aca="false">IF(S22&lt;=13,"1 day",IF(S22&lt;=15,"1 long day","2 days"))</f>
        <v>1 day</v>
      </c>
      <c r="Z22" s="12" t="n">
        <f aca="false">ROUND(P22*130*Q22,-1)</f>
        <v>5930</v>
      </c>
      <c r="AA22" s="12" t="n">
        <f aca="false">ROUND(P22*120*Q22,-1)</f>
        <v>5470</v>
      </c>
      <c r="AB22" s="12" t="n">
        <f aca="false">ROUND(P22*110*Q22,-1)</f>
        <v>5020</v>
      </c>
      <c r="AC22" s="12" t="n">
        <f aca="false">ROUND(P22*100*Q22,-1)</f>
        <v>4560</v>
      </c>
      <c r="AD22" s="10" t="s">
        <v>268</v>
      </c>
      <c r="AE22" s="16"/>
      <c r="AF22" s="16"/>
      <c r="AG22" s="16"/>
    </row>
    <row r="23" customFormat="false" ht="15" hidden="false" customHeight="false" outlineLevel="0" collapsed="false">
      <c r="A23" s="12" t="n">
        <v>22</v>
      </c>
      <c r="B23" s="13" t="s">
        <v>266</v>
      </c>
      <c r="C23" s="10" t="s">
        <v>269</v>
      </c>
      <c r="D23" s="14" t="s">
        <v>65</v>
      </c>
      <c r="E23" s="14" t="s">
        <v>67</v>
      </c>
      <c r="F23" s="15" t="n">
        <f aca="false">MAX(IFERROR(INDEX(Stations!$B$2:$B$31,MATCH(D23,Stations!$A$2:$A$31,0)),0),IFERROR(INDEX(Stations!$B$2:$B$31,MATCH(E23,Stations!$A$2:$A$31,0)),0))</f>
        <v>1.9</v>
      </c>
      <c r="G23" s="16" t="n">
        <v>15</v>
      </c>
      <c r="H23" s="16" t="n">
        <v>0</v>
      </c>
      <c r="I23" s="16" t="n">
        <v>23</v>
      </c>
      <c r="J23" s="16" t="n">
        <v>1100</v>
      </c>
      <c r="K23" s="14" t="s">
        <v>128</v>
      </c>
      <c r="L23" s="14" t="s">
        <v>147</v>
      </c>
      <c r="M23" s="14" t="s">
        <v>239</v>
      </c>
      <c r="N23" s="16" t="n">
        <v>4</v>
      </c>
      <c r="O23" s="16" t="s">
        <v>221</v>
      </c>
      <c r="P23" s="12" t="n">
        <f aca="false">INDEX(Scale!$B$16:$B$26,MATCH(K23,Scale!$A$16:$A$26,0))</f>
        <v>6.3</v>
      </c>
      <c r="Q23" s="15" t="n">
        <f aca="false">I23/3+J23/350</f>
        <v>10.8095238095238</v>
      </c>
      <c r="R23" s="15" t="n">
        <f aca="false">I23/4.2+J23/500</f>
        <v>7.67619047619048</v>
      </c>
      <c r="S23" s="15" t="n">
        <f aca="false">2*F23+2*G23/60+2*H23/60+Q23+1</f>
        <v>16.1095238095238</v>
      </c>
      <c r="T23" s="15" t="n">
        <f aca="false">I23+J23/100</f>
        <v>34</v>
      </c>
      <c r="U23" s="12" t="n">
        <f aca="false">INDEX(Scale!$B$3:$B$12,MATCH(T23,Scale!$A$3:$A$12,1))</f>
        <v>8</v>
      </c>
      <c r="V23" s="12" t="n">
        <f aca="false">INDEX(Scale!$B$30:$B$38,MATCH(L23,Scale!$A$30:$A$38,0))</f>
        <v>0</v>
      </c>
      <c r="W23" s="17" t="n">
        <f aca="false">MAX(U23,V23)</f>
        <v>8</v>
      </c>
      <c r="X23" s="12" t="n">
        <f aca="false">IF(W23&lt;=3,1,IF(W23&lt;=5,2,IF(W23&lt;=7,3,IF(W23&lt;=8,4,5))))</f>
        <v>4</v>
      </c>
      <c r="Y23" s="13" t="str">
        <f aca="false">IF(S23&lt;=13,"1 day",IF(S23&lt;=15,"1 long day","2 days"))</f>
        <v>2 days</v>
      </c>
      <c r="Z23" s="12" t="n">
        <f aca="false">ROUND(P23*130*Q23,-1)</f>
        <v>8850</v>
      </c>
      <c r="AA23" s="12" t="n">
        <f aca="false">ROUND(P23*120*Q23,-1)</f>
        <v>8170</v>
      </c>
      <c r="AB23" s="12" t="n">
        <f aca="false">ROUND(P23*110*Q23,-1)</f>
        <v>7490</v>
      </c>
      <c r="AC23" s="12" t="n">
        <f aca="false">ROUND(P23*100*Q23,-1)</f>
        <v>6810</v>
      </c>
      <c r="AD23" s="10" t="s">
        <v>270</v>
      </c>
      <c r="AE23" s="16"/>
      <c r="AF23" s="16"/>
      <c r="AG23" s="16"/>
    </row>
    <row r="24" customFormat="false" ht="15" hidden="false" customHeight="false" outlineLevel="0" collapsed="false">
      <c r="A24" s="12" t="n">
        <v>23</v>
      </c>
      <c r="B24" s="13" t="s">
        <v>266</v>
      </c>
      <c r="C24" s="10" t="s">
        <v>271</v>
      </c>
      <c r="D24" s="14" t="s">
        <v>65</v>
      </c>
      <c r="E24" s="14" t="s">
        <v>65</v>
      </c>
      <c r="F24" s="15" t="n">
        <f aca="false">MAX(IFERROR(INDEX(Stations!$B$2:$B$31,MATCH(D24,Stations!$A$2:$A$31,0)),0),IFERROR(INDEX(Stations!$B$2:$B$31,MATCH(E24,Stations!$A$2:$A$31,0)),0))</f>
        <v>1.6</v>
      </c>
      <c r="G24" s="16" t="n">
        <v>15</v>
      </c>
      <c r="H24" s="16" t="n">
        <v>0</v>
      </c>
      <c r="I24" s="16" t="n">
        <v>18</v>
      </c>
      <c r="J24" s="16" t="n">
        <v>1100</v>
      </c>
      <c r="K24" s="14" t="s">
        <v>128</v>
      </c>
      <c r="L24" s="14" t="s">
        <v>147</v>
      </c>
      <c r="M24" s="14" t="s">
        <v>239</v>
      </c>
      <c r="N24" s="16" t="n">
        <v>5</v>
      </c>
      <c r="O24" s="16" t="s">
        <v>226</v>
      </c>
      <c r="P24" s="12" t="n">
        <f aca="false">INDEX(Scale!$B$16:$B$26,MATCH(K24,Scale!$A$16:$A$26,0))</f>
        <v>6.3</v>
      </c>
      <c r="Q24" s="15" t="n">
        <f aca="false">I24/3+J24/350</f>
        <v>9.14285714285714</v>
      </c>
      <c r="R24" s="15" t="n">
        <f aca="false">I24/4.2+J24/500</f>
        <v>6.48571428571429</v>
      </c>
      <c r="S24" s="15" t="n">
        <f aca="false">2*F24+2*G24/60+2*H24/60+Q24+1</f>
        <v>13.8428571428571</v>
      </c>
      <c r="T24" s="15" t="n">
        <f aca="false">I24+J24/100</f>
        <v>29</v>
      </c>
      <c r="U24" s="12" t="n">
        <f aca="false">INDEX(Scale!$B$3:$B$12,MATCH(T24,Scale!$A$3:$A$12,1))</f>
        <v>7</v>
      </c>
      <c r="V24" s="12" t="n">
        <f aca="false">INDEX(Scale!$B$30:$B$38,MATCH(L24,Scale!$A$30:$A$38,0))</f>
        <v>0</v>
      </c>
      <c r="W24" s="17" t="n">
        <f aca="false">MAX(U24,V24)</f>
        <v>7</v>
      </c>
      <c r="X24" s="12" t="n">
        <f aca="false">IF(W24&lt;=3,1,IF(W24&lt;=5,2,IF(W24&lt;=7,3,IF(W24&lt;=8,4,5))))</f>
        <v>3</v>
      </c>
      <c r="Y24" s="13" t="str">
        <f aca="false">IF(S24&lt;=13,"1 day",IF(S24&lt;=15,"1 long day","2 days"))</f>
        <v>1 long day</v>
      </c>
      <c r="Z24" s="12" t="n">
        <f aca="false">ROUND(P24*130*Q24,-1)</f>
        <v>7490</v>
      </c>
      <c r="AA24" s="12" t="n">
        <f aca="false">ROUND(P24*120*Q24,-1)</f>
        <v>6910</v>
      </c>
      <c r="AB24" s="12" t="n">
        <f aca="false">ROUND(P24*110*Q24,-1)</f>
        <v>6340</v>
      </c>
      <c r="AC24" s="12" t="n">
        <f aca="false">ROUND(P24*100*Q24,-1)</f>
        <v>5760</v>
      </c>
      <c r="AD24" s="10" t="s">
        <v>272</v>
      </c>
      <c r="AE24" s="16"/>
      <c r="AF24" s="16"/>
      <c r="AG24" s="16"/>
    </row>
    <row r="25" customFormat="false" ht="15" hidden="false" customHeight="false" outlineLevel="0" collapsed="false">
      <c r="A25" s="12" t="n">
        <v>24</v>
      </c>
      <c r="B25" s="13" t="s">
        <v>218</v>
      </c>
      <c r="C25" s="10" t="s">
        <v>273</v>
      </c>
      <c r="D25" s="14" t="s">
        <v>66</v>
      </c>
      <c r="E25" s="14" t="s">
        <v>66</v>
      </c>
      <c r="F25" s="15" t="n">
        <f aca="false">MAX(IFERROR(INDEX(Stations!$B$2:$B$31,MATCH(D25,Stations!$A$2:$A$31,0)),0),IFERROR(INDEX(Stations!$B$2:$B$31,MATCH(E25,Stations!$A$2:$A$31,0)),0))</f>
        <v>1.8</v>
      </c>
      <c r="G25" s="16" t="n">
        <v>25</v>
      </c>
      <c r="H25" s="16" t="n">
        <v>0</v>
      </c>
      <c r="I25" s="16" t="n">
        <v>5</v>
      </c>
      <c r="J25" s="16" t="n">
        <v>320</v>
      </c>
      <c r="K25" s="14" t="s">
        <v>126</v>
      </c>
      <c r="L25" s="14" t="s">
        <v>147</v>
      </c>
      <c r="M25" s="14" t="s">
        <v>220</v>
      </c>
      <c r="N25" s="16" t="n">
        <v>1</v>
      </c>
      <c r="O25" s="16" t="s">
        <v>221</v>
      </c>
      <c r="P25" s="12" t="n">
        <f aca="false">INDEX(Scale!$B$16:$B$26,MATCH(K25,Scale!$A$16:$A$26,0))</f>
        <v>5.5</v>
      </c>
      <c r="Q25" s="15" t="n">
        <f aca="false">I25/3+J25/350</f>
        <v>2.58095238095238</v>
      </c>
      <c r="R25" s="15" t="n">
        <f aca="false">I25/4.2+J25/500</f>
        <v>1.83047619047619</v>
      </c>
      <c r="S25" s="15" t="n">
        <f aca="false">2*F25+2*G25/60+2*H25/60+Q25+1</f>
        <v>8.01428571428571</v>
      </c>
      <c r="T25" s="15" t="n">
        <f aca="false">I25+J25/100</f>
        <v>8.2</v>
      </c>
      <c r="U25" s="12" t="n">
        <f aca="false">INDEX(Scale!$B$3:$B$12,MATCH(T25,Scale!$A$3:$A$12,1))</f>
        <v>2</v>
      </c>
      <c r="V25" s="12" t="n">
        <f aca="false">INDEX(Scale!$B$30:$B$38,MATCH(L25,Scale!$A$30:$A$38,0))</f>
        <v>0</v>
      </c>
      <c r="W25" s="17" t="n">
        <f aca="false">MAX(U25,V25)</f>
        <v>2</v>
      </c>
      <c r="X25" s="12" t="n">
        <f aca="false">IF(W25&lt;=3,1,IF(W25&lt;=5,2,IF(W25&lt;=7,3,IF(W25&lt;=8,4,5))))</f>
        <v>1</v>
      </c>
      <c r="Y25" s="13" t="str">
        <f aca="false">IF(S25&lt;=13,"1 day",IF(S25&lt;=15,"1 long day","2 days"))</f>
        <v>1 day</v>
      </c>
      <c r="Z25" s="12" t="n">
        <f aca="false">ROUND(P25*130*Q25,-1)</f>
        <v>1850</v>
      </c>
      <c r="AA25" s="12" t="n">
        <f aca="false">ROUND(P25*120*Q25,-1)</f>
        <v>1700</v>
      </c>
      <c r="AB25" s="12" t="n">
        <f aca="false">ROUND(P25*110*Q25,-1)</f>
        <v>1560</v>
      </c>
      <c r="AC25" s="12" t="n">
        <f aca="false">ROUND(P25*100*Q25,-1)</f>
        <v>1420</v>
      </c>
      <c r="AD25" s="10" t="s">
        <v>274</v>
      </c>
      <c r="AE25" s="16"/>
      <c r="AF25" s="16"/>
      <c r="AG25" s="16"/>
    </row>
    <row r="26" customFormat="false" ht="15" hidden="false" customHeight="false" outlineLevel="0" collapsed="false">
      <c r="A26" s="12" t="n">
        <v>25</v>
      </c>
      <c r="B26" s="13" t="s">
        <v>218</v>
      </c>
      <c r="C26" s="10" t="s">
        <v>275</v>
      </c>
      <c r="D26" s="14" t="s">
        <v>66</v>
      </c>
      <c r="E26" s="14" t="s">
        <v>66</v>
      </c>
      <c r="F26" s="15" t="n">
        <f aca="false">MAX(IFERROR(INDEX(Stations!$B$2:$B$31,MATCH(D26,Stations!$A$2:$A$31,0)),0),IFERROR(INDEX(Stations!$B$2:$B$31,MATCH(E26,Stations!$A$2:$A$31,0)),0))</f>
        <v>1.8</v>
      </c>
      <c r="G26" s="16" t="n">
        <v>10</v>
      </c>
      <c r="H26" s="16" t="n">
        <v>0</v>
      </c>
      <c r="I26" s="16" t="n">
        <v>7</v>
      </c>
      <c r="J26" s="16" t="n">
        <v>380</v>
      </c>
      <c r="K26" s="14" t="s">
        <v>126</v>
      </c>
      <c r="L26" s="14" t="s">
        <v>147</v>
      </c>
      <c r="M26" s="14" t="s">
        <v>220</v>
      </c>
      <c r="N26" s="16" t="n">
        <v>2</v>
      </c>
      <c r="O26" s="16" t="s">
        <v>221</v>
      </c>
      <c r="P26" s="12" t="n">
        <f aca="false">INDEX(Scale!$B$16:$B$26,MATCH(K26,Scale!$A$16:$A$26,0))</f>
        <v>5.5</v>
      </c>
      <c r="Q26" s="15" t="n">
        <f aca="false">I26/3+J26/350</f>
        <v>3.41904761904762</v>
      </c>
      <c r="R26" s="15" t="n">
        <f aca="false">I26/4.2+J26/500</f>
        <v>2.42666666666667</v>
      </c>
      <c r="S26" s="15" t="n">
        <f aca="false">2*F26+2*G26/60+2*H26/60+Q26+1</f>
        <v>8.35238095238095</v>
      </c>
      <c r="T26" s="15" t="n">
        <f aca="false">I26+J26/100</f>
        <v>10.8</v>
      </c>
      <c r="U26" s="12" t="n">
        <f aca="false">INDEX(Scale!$B$3:$B$12,MATCH(T26,Scale!$A$3:$A$12,1))</f>
        <v>3</v>
      </c>
      <c r="V26" s="12" t="n">
        <f aca="false">INDEX(Scale!$B$30:$B$38,MATCH(L26,Scale!$A$30:$A$38,0))</f>
        <v>0</v>
      </c>
      <c r="W26" s="17" t="n">
        <f aca="false">MAX(U26,V26)</f>
        <v>3</v>
      </c>
      <c r="X26" s="12" t="n">
        <f aca="false">IF(W26&lt;=3,1,IF(W26&lt;=5,2,IF(W26&lt;=7,3,IF(W26&lt;=8,4,5))))</f>
        <v>1</v>
      </c>
      <c r="Y26" s="13" t="str">
        <f aca="false">IF(S26&lt;=13,"1 day",IF(S26&lt;=15,"1 long day","2 days"))</f>
        <v>1 day</v>
      </c>
      <c r="Z26" s="12" t="n">
        <f aca="false">ROUND(P26*130*Q26,-1)</f>
        <v>2440</v>
      </c>
      <c r="AA26" s="12" t="n">
        <f aca="false">ROUND(P26*120*Q26,-1)</f>
        <v>2260</v>
      </c>
      <c r="AB26" s="12" t="n">
        <f aca="false">ROUND(P26*110*Q26,-1)</f>
        <v>2070</v>
      </c>
      <c r="AC26" s="12" t="n">
        <f aca="false">ROUND(P26*100*Q26,-1)</f>
        <v>1880</v>
      </c>
      <c r="AD26" s="10" t="s">
        <v>276</v>
      </c>
      <c r="AE26" s="16"/>
      <c r="AF26" s="16"/>
      <c r="AG26" s="16"/>
    </row>
    <row r="27" customFormat="false" ht="15" hidden="false" customHeight="false" outlineLevel="0" collapsed="false">
      <c r="A27" s="12" t="n">
        <v>26</v>
      </c>
      <c r="B27" s="13" t="s">
        <v>218</v>
      </c>
      <c r="C27" s="10" t="s">
        <v>277</v>
      </c>
      <c r="D27" s="14" t="s">
        <v>66</v>
      </c>
      <c r="E27" s="14" t="s">
        <v>66</v>
      </c>
      <c r="F27" s="15" t="n">
        <f aca="false">MAX(IFERROR(INDEX(Stations!$B$2:$B$31,MATCH(D27,Stations!$A$2:$A$31,0)),0),IFERROR(INDEX(Stations!$B$2:$B$31,MATCH(E27,Stations!$A$2:$A$31,0)),0))</f>
        <v>1.8</v>
      </c>
      <c r="G27" s="16" t="n">
        <v>15</v>
      </c>
      <c r="H27" s="16" t="n">
        <v>0</v>
      </c>
      <c r="I27" s="16" t="n">
        <v>9</v>
      </c>
      <c r="J27" s="16" t="n">
        <v>450</v>
      </c>
      <c r="K27" s="14" t="s">
        <v>126</v>
      </c>
      <c r="L27" s="14" t="s">
        <v>147</v>
      </c>
      <c r="M27" s="14" t="s">
        <v>220</v>
      </c>
      <c r="N27" s="16" t="n">
        <v>2</v>
      </c>
      <c r="O27" s="16" t="s">
        <v>226</v>
      </c>
      <c r="P27" s="12" t="n">
        <f aca="false">INDEX(Scale!$B$16:$B$26,MATCH(K27,Scale!$A$16:$A$26,0))</f>
        <v>5.5</v>
      </c>
      <c r="Q27" s="15" t="n">
        <f aca="false">I27/3+J27/350</f>
        <v>4.28571428571429</v>
      </c>
      <c r="R27" s="15" t="n">
        <f aca="false">I27/4.2+J27/500</f>
        <v>3.04285714285714</v>
      </c>
      <c r="S27" s="15" t="n">
        <f aca="false">2*F27+2*G27/60+2*H27/60+Q27+1</f>
        <v>9.38571428571429</v>
      </c>
      <c r="T27" s="15" t="n">
        <f aca="false">I27+J27/100</f>
        <v>13.5</v>
      </c>
      <c r="U27" s="12" t="n">
        <f aca="false">INDEX(Scale!$B$3:$B$12,MATCH(T27,Scale!$A$3:$A$12,1))</f>
        <v>4</v>
      </c>
      <c r="V27" s="12" t="n">
        <f aca="false">INDEX(Scale!$B$30:$B$38,MATCH(L27,Scale!$A$30:$A$38,0))</f>
        <v>0</v>
      </c>
      <c r="W27" s="17" t="n">
        <f aca="false">MAX(U27,V27)</f>
        <v>4</v>
      </c>
      <c r="X27" s="12" t="n">
        <f aca="false">IF(W27&lt;=3,1,IF(W27&lt;=5,2,IF(W27&lt;=7,3,IF(W27&lt;=8,4,5))))</f>
        <v>2</v>
      </c>
      <c r="Y27" s="13" t="str">
        <f aca="false">IF(S27&lt;=13,"1 day",IF(S27&lt;=15,"1 long day","2 days"))</f>
        <v>1 day</v>
      </c>
      <c r="Z27" s="12" t="n">
        <f aca="false">ROUND(P27*130*Q27,-1)</f>
        <v>3060</v>
      </c>
      <c r="AA27" s="12" t="n">
        <f aca="false">ROUND(P27*120*Q27,-1)</f>
        <v>2830</v>
      </c>
      <c r="AB27" s="12" t="n">
        <f aca="false">ROUND(P27*110*Q27,-1)</f>
        <v>2590</v>
      </c>
      <c r="AC27" s="12" t="n">
        <f aca="false">ROUND(P27*100*Q27,-1)</f>
        <v>2360</v>
      </c>
      <c r="AD27" s="10" t="s">
        <v>278</v>
      </c>
      <c r="AE27" s="16"/>
      <c r="AF27" s="16"/>
      <c r="AG27" s="16"/>
    </row>
    <row r="28" customFormat="false" ht="15" hidden="false" customHeight="false" outlineLevel="0" collapsed="false">
      <c r="A28" s="12" t="n">
        <v>27</v>
      </c>
      <c r="B28" s="13" t="s">
        <v>218</v>
      </c>
      <c r="C28" s="10" t="s">
        <v>279</v>
      </c>
      <c r="D28" s="14" t="s">
        <v>66</v>
      </c>
      <c r="E28" s="14" t="s">
        <v>66</v>
      </c>
      <c r="F28" s="15" t="n">
        <f aca="false">MAX(IFERROR(INDEX(Stations!$B$2:$B$31,MATCH(D28,Stations!$A$2:$A$31,0)),0),IFERROR(INDEX(Stations!$B$2:$B$31,MATCH(E28,Stations!$A$2:$A$31,0)),0))</f>
        <v>1.8</v>
      </c>
      <c r="G28" s="16" t="n">
        <v>25</v>
      </c>
      <c r="H28" s="16" t="n">
        <v>0</v>
      </c>
      <c r="I28" s="16" t="n">
        <v>9</v>
      </c>
      <c r="J28" s="16" t="n">
        <v>600</v>
      </c>
      <c r="K28" s="14" t="s">
        <v>126</v>
      </c>
      <c r="L28" s="14" t="s">
        <v>147</v>
      </c>
      <c r="M28" s="14" t="s">
        <v>220</v>
      </c>
      <c r="N28" s="16" t="n">
        <v>2</v>
      </c>
      <c r="O28" s="16" t="s">
        <v>221</v>
      </c>
      <c r="P28" s="12" t="n">
        <f aca="false">INDEX(Scale!$B$16:$B$26,MATCH(K28,Scale!$A$16:$A$26,0))</f>
        <v>5.5</v>
      </c>
      <c r="Q28" s="15" t="n">
        <f aca="false">I28/3+J28/350</f>
        <v>4.71428571428571</v>
      </c>
      <c r="R28" s="15" t="n">
        <f aca="false">I28/4.2+J28/500</f>
        <v>3.34285714285714</v>
      </c>
      <c r="S28" s="15" t="n">
        <f aca="false">2*F28+2*G28/60+2*H28/60+Q28+1</f>
        <v>10.147619047619</v>
      </c>
      <c r="T28" s="15" t="n">
        <f aca="false">I28+J28/100</f>
        <v>15</v>
      </c>
      <c r="U28" s="12" t="n">
        <f aca="false">INDEX(Scale!$B$3:$B$12,MATCH(T28,Scale!$A$3:$A$12,1))</f>
        <v>4</v>
      </c>
      <c r="V28" s="12" t="n">
        <f aca="false">INDEX(Scale!$B$30:$B$38,MATCH(L28,Scale!$A$30:$A$38,0))</f>
        <v>0</v>
      </c>
      <c r="W28" s="17" t="n">
        <f aca="false">MAX(U28,V28)</f>
        <v>4</v>
      </c>
      <c r="X28" s="12" t="n">
        <f aca="false">IF(W28&lt;=3,1,IF(W28&lt;=5,2,IF(W28&lt;=7,3,IF(W28&lt;=8,4,5))))</f>
        <v>2</v>
      </c>
      <c r="Y28" s="13" t="str">
        <f aca="false">IF(S28&lt;=13,"1 day",IF(S28&lt;=15,"1 long day","2 days"))</f>
        <v>1 day</v>
      </c>
      <c r="Z28" s="12" t="n">
        <f aca="false">ROUND(P28*130*Q28,-1)</f>
        <v>3370</v>
      </c>
      <c r="AA28" s="12" t="n">
        <f aca="false">ROUND(P28*120*Q28,-1)</f>
        <v>3110</v>
      </c>
      <c r="AB28" s="12" t="n">
        <f aca="false">ROUND(P28*110*Q28,-1)</f>
        <v>2850</v>
      </c>
      <c r="AC28" s="12" t="n">
        <f aca="false">ROUND(P28*100*Q28,-1)</f>
        <v>2590</v>
      </c>
      <c r="AD28" s="10" t="s">
        <v>280</v>
      </c>
      <c r="AE28" s="16"/>
      <c r="AF28" s="16"/>
      <c r="AG28" s="16"/>
    </row>
    <row r="29" customFormat="false" ht="15" hidden="false" customHeight="false" outlineLevel="0" collapsed="false">
      <c r="A29" s="12" t="n">
        <v>28</v>
      </c>
      <c r="B29" s="13" t="s">
        <v>218</v>
      </c>
      <c r="C29" s="10" t="s">
        <v>281</v>
      </c>
      <c r="D29" s="14" t="s">
        <v>66</v>
      </c>
      <c r="E29" s="14" t="s">
        <v>66</v>
      </c>
      <c r="F29" s="15" t="n">
        <f aca="false">MAX(IFERROR(INDEX(Stations!$B$2:$B$31,MATCH(D29,Stations!$A$2:$A$31,0)),0),IFERROR(INDEX(Stations!$B$2:$B$31,MATCH(E29,Stations!$A$2:$A$31,0)),0))</f>
        <v>1.8</v>
      </c>
      <c r="G29" s="16" t="n">
        <v>25</v>
      </c>
      <c r="H29" s="16" t="n">
        <v>0</v>
      </c>
      <c r="I29" s="16" t="n">
        <v>13</v>
      </c>
      <c r="J29" s="16" t="n">
        <v>750</v>
      </c>
      <c r="K29" s="14" t="s">
        <v>128</v>
      </c>
      <c r="L29" s="14" t="s">
        <v>147</v>
      </c>
      <c r="M29" s="14" t="s">
        <v>231</v>
      </c>
      <c r="N29" s="16" t="n">
        <v>3</v>
      </c>
      <c r="O29" s="16" t="s">
        <v>226</v>
      </c>
      <c r="P29" s="12" t="n">
        <f aca="false">INDEX(Scale!$B$16:$B$26,MATCH(K29,Scale!$A$16:$A$26,0))</f>
        <v>6.3</v>
      </c>
      <c r="Q29" s="15" t="n">
        <f aca="false">I29/3+J29/350</f>
        <v>6.47619047619048</v>
      </c>
      <c r="R29" s="15" t="n">
        <f aca="false">I29/4.2+J29/500</f>
        <v>4.5952380952381</v>
      </c>
      <c r="S29" s="15" t="n">
        <f aca="false">2*F29+2*G29/60+2*H29/60+Q29+1</f>
        <v>11.9095238095238</v>
      </c>
      <c r="T29" s="15" t="n">
        <f aca="false">I29+J29/100</f>
        <v>20.5</v>
      </c>
      <c r="U29" s="12" t="n">
        <f aca="false">INDEX(Scale!$B$3:$B$12,MATCH(T29,Scale!$A$3:$A$12,1))</f>
        <v>5</v>
      </c>
      <c r="V29" s="12" t="n">
        <f aca="false">INDEX(Scale!$B$30:$B$38,MATCH(L29,Scale!$A$30:$A$38,0))</f>
        <v>0</v>
      </c>
      <c r="W29" s="17" t="n">
        <f aca="false">MAX(U29,V29)</f>
        <v>5</v>
      </c>
      <c r="X29" s="12" t="n">
        <f aca="false">IF(W29&lt;=3,1,IF(W29&lt;=5,2,IF(W29&lt;=7,3,IF(W29&lt;=8,4,5))))</f>
        <v>2</v>
      </c>
      <c r="Y29" s="13" t="str">
        <f aca="false">IF(S29&lt;=13,"1 day",IF(S29&lt;=15,"1 long day","2 days"))</f>
        <v>1 day</v>
      </c>
      <c r="Z29" s="12" t="n">
        <f aca="false">ROUND(P29*130*Q29,-1)</f>
        <v>5300</v>
      </c>
      <c r="AA29" s="12" t="n">
        <f aca="false">ROUND(P29*120*Q29,-1)</f>
        <v>4900</v>
      </c>
      <c r="AB29" s="12" t="n">
        <f aca="false">ROUND(P29*110*Q29,-1)</f>
        <v>4490</v>
      </c>
      <c r="AC29" s="12" t="n">
        <f aca="false">ROUND(P29*100*Q29,-1)</f>
        <v>4080</v>
      </c>
      <c r="AD29" s="10" t="s">
        <v>282</v>
      </c>
      <c r="AE29" s="16"/>
      <c r="AF29" s="16"/>
      <c r="AG29" s="16"/>
    </row>
    <row r="30" customFormat="false" ht="15" hidden="false" customHeight="false" outlineLevel="0" collapsed="false">
      <c r="A30" s="12" t="n">
        <v>29</v>
      </c>
      <c r="B30" s="13" t="s">
        <v>218</v>
      </c>
      <c r="C30" s="10" t="s">
        <v>283</v>
      </c>
      <c r="D30" s="14" t="s">
        <v>66</v>
      </c>
      <c r="E30" s="14" t="s">
        <v>66</v>
      </c>
      <c r="F30" s="15" t="n">
        <f aca="false">MAX(IFERROR(INDEX(Stations!$B$2:$B$31,MATCH(D30,Stations!$A$2:$A$31,0)),0),IFERROR(INDEX(Stations!$B$2:$B$31,MATCH(E30,Stations!$A$2:$A$31,0)),0))</f>
        <v>1.8</v>
      </c>
      <c r="G30" s="16" t="n">
        <v>20</v>
      </c>
      <c r="H30" s="16" t="n">
        <v>0</v>
      </c>
      <c r="I30" s="16" t="n">
        <v>9</v>
      </c>
      <c r="J30" s="16" t="n">
        <v>550</v>
      </c>
      <c r="K30" s="14" t="s">
        <v>126</v>
      </c>
      <c r="L30" s="14" t="s">
        <v>147</v>
      </c>
      <c r="M30" s="14" t="s">
        <v>234</v>
      </c>
      <c r="N30" s="16" t="n">
        <v>3</v>
      </c>
      <c r="O30" s="16" t="s">
        <v>221</v>
      </c>
      <c r="P30" s="12" t="n">
        <f aca="false">INDEX(Scale!$B$16:$B$26,MATCH(K30,Scale!$A$16:$A$26,0))</f>
        <v>5.5</v>
      </c>
      <c r="Q30" s="15" t="n">
        <f aca="false">I30/3+J30/350</f>
        <v>4.57142857142857</v>
      </c>
      <c r="R30" s="15" t="n">
        <f aca="false">I30/4.2+J30/500</f>
        <v>3.24285714285714</v>
      </c>
      <c r="S30" s="15" t="n">
        <f aca="false">2*F30+2*G30/60+2*H30/60+Q30+1</f>
        <v>9.83809523809524</v>
      </c>
      <c r="T30" s="15" t="n">
        <f aca="false">I30+J30/100</f>
        <v>14.5</v>
      </c>
      <c r="U30" s="12" t="n">
        <f aca="false">INDEX(Scale!$B$3:$B$12,MATCH(T30,Scale!$A$3:$A$12,1))</f>
        <v>4</v>
      </c>
      <c r="V30" s="12" t="n">
        <f aca="false">INDEX(Scale!$B$30:$B$38,MATCH(L30,Scale!$A$30:$A$38,0))</f>
        <v>0</v>
      </c>
      <c r="W30" s="17" t="n">
        <f aca="false">MAX(U30,V30)</f>
        <v>4</v>
      </c>
      <c r="X30" s="12" t="n">
        <f aca="false">IF(W30&lt;=3,1,IF(W30&lt;=5,2,IF(W30&lt;=7,3,IF(W30&lt;=8,4,5))))</f>
        <v>2</v>
      </c>
      <c r="Y30" s="13" t="str">
        <f aca="false">IF(S30&lt;=13,"1 day",IF(S30&lt;=15,"1 long day","2 days"))</f>
        <v>1 day</v>
      </c>
      <c r="Z30" s="12" t="n">
        <f aca="false">ROUND(P30*130*Q30,-1)</f>
        <v>3270</v>
      </c>
      <c r="AA30" s="12" t="n">
        <f aca="false">ROUND(P30*120*Q30,-1)</f>
        <v>3020</v>
      </c>
      <c r="AB30" s="12" t="n">
        <f aca="false">ROUND(P30*110*Q30,-1)</f>
        <v>2770</v>
      </c>
      <c r="AC30" s="12" t="n">
        <f aca="false">ROUND(P30*100*Q30,-1)</f>
        <v>2510</v>
      </c>
      <c r="AD30" s="10" t="s">
        <v>284</v>
      </c>
      <c r="AE30" s="16"/>
      <c r="AF30" s="16"/>
      <c r="AG30" s="16"/>
    </row>
    <row r="31" customFormat="false" ht="15" hidden="false" customHeight="false" outlineLevel="0" collapsed="false">
      <c r="A31" s="12" t="n">
        <v>30</v>
      </c>
      <c r="B31" s="13" t="s">
        <v>218</v>
      </c>
      <c r="C31" s="10" t="s">
        <v>285</v>
      </c>
      <c r="D31" s="14" t="s">
        <v>66</v>
      </c>
      <c r="E31" s="14" t="s">
        <v>66</v>
      </c>
      <c r="F31" s="15" t="n">
        <f aca="false">MAX(IFERROR(INDEX(Stations!$B$2:$B$31,MATCH(D31,Stations!$A$2:$A$31,0)),0),IFERROR(INDEX(Stations!$B$2:$B$31,MATCH(E31,Stations!$A$2:$A$31,0)),0))</f>
        <v>1.8</v>
      </c>
      <c r="G31" s="16" t="n">
        <v>20</v>
      </c>
      <c r="H31" s="16" t="n">
        <v>0</v>
      </c>
      <c r="I31" s="16" t="n">
        <v>14</v>
      </c>
      <c r="J31" s="16" t="n">
        <v>1700</v>
      </c>
      <c r="K31" s="14" t="s">
        <v>130</v>
      </c>
      <c r="L31" s="14" t="s">
        <v>149</v>
      </c>
      <c r="M31" s="14" t="s">
        <v>286</v>
      </c>
      <c r="N31" s="16" t="n">
        <v>3</v>
      </c>
      <c r="O31" s="16" t="s">
        <v>221</v>
      </c>
      <c r="P31" s="12" t="n">
        <f aca="false">INDEX(Scale!$B$16:$B$26,MATCH(K31,Scale!$A$16:$A$26,0))</f>
        <v>7</v>
      </c>
      <c r="Q31" s="15" t="n">
        <f aca="false">I31/3+J31/350</f>
        <v>9.52380952380952</v>
      </c>
      <c r="R31" s="15" t="n">
        <f aca="false">I31/4.2+J31/500</f>
        <v>6.73333333333333</v>
      </c>
      <c r="S31" s="15" t="n">
        <f aca="false">2*F31+2*G31/60+2*H31/60+Q31+1</f>
        <v>14.7904761904762</v>
      </c>
      <c r="T31" s="15" t="n">
        <f aca="false">I31+J31/100</f>
        <v>31</v>
      </c>
      <c r="U31" s="12" t="n">
        <f aca="false">INDEX(Scale!$B$3:$B$12,MATCH(T31,Scale!$A$3:$A$12,1))</f>
        <v>7</v>
      </c>
      <c r="V31" s="12" t="n">
        <f aca="false">INDEX(Scale!$B$30:$B$38,MATCH(L31,Scale!$A$30:$A$38,0))</f>
        <v>3</v>
      </c>
      <c r="W31" s="17" t="n">
        <f aca="false">MAX(U31,V31)</f>
        <v>7</v>
      </c>
      <c r="X31" s="12" t="n">
        <f aca="false">IF(W31&lt;=3,1,IF(W31&lt;=5,2,IF(W31&lt;=7,3,IF(W31&lt;=8,4,5))))</f>
        <v>3</v>
      </c>
      <c r="Y31" s="13" t="str">
        <f aca="false">IF(S31&lt;=13,"1 day",IF(S31&lt;=15,"1 long day","2 days"))</f>
        <v>1 long day</v>
      </c>
      <c r="Z31" s="12" t="n">
        <f aca="false">ROUND(P31*130*Q31,-1)</f>
        <v>8670</v>
      </c>
      <c r="AA31" s="12" t="n">
        <f aca="false">ROUND(P31*120*Q31,-1)</f>
        <v>8000</v>
      </c>
      <c r="AB31" s="12" t="n">
        <f aca="false">ROUND(P31*110*Q31,-1)</f>
        <v>7330</v>
      </c>
      <c r="AC31" s="12" t="n">
        <f aca="false">ROUND(P31*100*Q31,-1)</f>
        <v>6670</v>
      </c>
      <c r="AD31" s="10" t="s">
        <v>287</v>
      </c>
      <c r="AE31" s="16"/>
      <c r="AF31" s="16"/>
      <c r="AG31" s="16"/>
    </row>
    <row r="32" customFormat="false" ht="15" hidden="false" customHeight="false" outlineLevel="0" collapsed="false">
      <c r="A32" s="12" t="n">
        <v>31</v>
      </c>
      <c r="B32" s="13" t="s">
        <v>218</v>
      </c>
      <c r="C32" s="10" t="s">
        <v>288</v>
      </c>
      <c r="D32" s="14" t="s">
        <v>66</v>
      </c>
      <c r="E32" s="14" t="s">
        <v>66</v>
      </c>
      <c r="F32" s="15" t="n">
        <f aca="false">MAX(IFERROR(INDEX(Stations!$B$2:$B$31,MATCH(D32,Stations!$A$2:$A$31,0)),0),IFERROR(INDEX(Stations!$B$2:$B$31,MATCH(E32,Stations!$A$2:$A$31,0)),0))</f>
        <v>1.8</v>
      </c>
      <c r="G32" s="16" t="n">
        <v>10</v>
      </c>
      <c r="H32" s="16" t="n">
        <v>0</v>
      </c>
      <c r="I32" s="16" t="n">
        <v>7</v>
      </c>
      <c r="J32" s="16" t="n">
        <v>1150</v>
      </c>
      <c r="K32" s="14" t="s">
        <v>130</v>
      </c>
      <c r="L32" s="14" t="s">
        <v>136</v>
      </c>
      <c r="M32" s="14" t="s">
        <v>239</v>
      </c>
      <c r="N32" s="16" t="n">
        <v>2</v>
      </c>
      <c r="O32" s="16" t="s">
        <v>221</v>
      </c>
      <c r="P32" s="12" t="n">
        <f aca="false">INDEX(Scale!$B$16:$B$26,MATCH(K32,Scale!$A$16:$A$26,0))</f>
        <v>7</v>
      </c>
      <c r="Q32" s="15" t="n">
        <f aca="false">I32/3+J32/350</f>
        <v>5.61904761904762</v>
      </c>
      <c r="R32" s="15" t="n">
        <f aca="false">I32/4.2+J32/500</f>
        <v>3.96666666666667</v>
      </c>
      <c r="S32" s="15" t="n">
        <f aca="false">2*F32+2*G32/60+2*H32/60+Q32+1</f>
        <v>10.552380952381</v>
      </c>
      <c r="T32" s="15" t="n">
        <f aca="false">I32+J32/100</f>
        <v>18.5</v>
      </c>
      <c r="U32" s="12" t="n">
        <f aca="false">INDEX(Scale!$B$3:$B$12,MATCH(T32,Scale!$A$3:$A$12,1))</f>
        <v>5</v>
      </c>
      <c r="V32" s="12" t="n">
        <f aca="false">INDEX(Scale!$B$30:$B$38,MATCH(L32,Scale!$A$30:$A$38,0))</f>
        <v>5</v>
      </c>
      <c r="W32" s="17" t="n">
        <f aca="false">MAX(U32,V32)</f>
        <v>5</v>
      </c>
      <c r="X32" s="12" t="n">
        <f aca="false">IF(W32&lt;=3,1,IF(W32&lt;=5,2,IF(W32&lt;=7,3,IF(W32&lt;=8,4,5))))</f>
        <v>2</v>
      </c>
      <c r="Y32" s="13" t="str">
        <f aca="false">IF(S32&lt;=13,"1 day",IF(S32&lt;=15,"1 long day","2 days"))</f>
        <v>1 day</v>
      </c>
      <c r="Z32" s="12" t="n">
        <f aca="false">ROUND(P32*130*Q32,-1)</f>
        <v>5110</v>
      </c>
      <c r="AA32" s="12" t="n">
        <f aca="false">ROUND(P32*120*Q32,-1)</f>
        <v>4720</v>
      </c>
      <c r="AB32" s="12" t="n">
        <f aca="false">ROUND(P32*110*Q32,-1)</f>
        <v>4330</v>
      </c>
      <c r="AC32" s="12" t="n">
        <f aca="false">ROUND(P32*100*Q32,-1)</f>
        <v>3930</v>
      </c>
      <c r="AD32" s="10" t="s">
        <v>289</v>
      </c>
      <c r="AE32" s="16"/>
      <c r="AF32" s="16"/>
      <c r="AG32" s="16"/>
    </row>
    <row r="33" customFormat="false" ht="15" hidden="false" customHeight="false" outlineLevel="0" collapsed="false">
      <c r="A33" s="12" t="n">
        <v>32</v>
      </c>
      <c r="B33" s="13" t="s">
        <v>218</v>
      </c>
      <c r="C33" s="10" t="s">
        <v>290</v>
      </c>
      <c r="D33" s="14" t="s">
        <v>66</v>
      </c>
      <c r="E33" s="14" t="s">
        <v>66</v>
      </c>
      <c r="F33" s="15" t="n">
        <f aca="false">MAX(IFERROR(INDEX(Stations!$B$2:$B$31,MATCH(D33,Stations!$A$2:$A$31,0)),0),IFERROR(INDEX(Stations!$B$2:$B$31,MATCH(E33,Stations!$A$2:$A$31,0)),0))</f>
        <v>1.8</v>
      </c>
      <c r="G33" s="16" t="n">
        <v>10</v>
      </c>
      <c r="H33" s="16" t="n">
        <v>0</v>
      </c>
      <c r="I33" s="16" t="n">
        <v>10</v>
      </c>
      <c r="J33" s="16" t="n">
        <v>1300</v>
      </c>
      <c r="K33" s="14" t="s">
        <v>130</v>
      </c>
      <c r="L33" s="14" t="s">
        <v>136</v>
      </c>
      <c r="M33" s="14" t="s">
        <v>239</v>
      </c>
      <c r="N33" s="16" t="n">
        <v>2</v>
      </c>
      <c r="O33" s="16" t="s">
        <v>221</v>
      </c>
      <c r="P33" s="12" t="n">
        <f aca="false">INDEX(Scale!$B$16:$B$26,MATCH(K33,Scale!$A$16:$A$26,0))</f>
        <v>7</v>
      </c>
      <c r="Q33" s="15" t="n">
        <f aca="false">I33/3+J33/350</f>
        <v>7.04761904761905</v>
      </c>
      <c r="R33" s="15" t="n">
        <f aca="false">I33/4.2+J33/500</f>
        <v>4.98095238095238</v>
      </c>
      <c r="S33" s="15" t="n">
        <f aca="false">2*F33+2*G33/60+2*H33/60+Q33+1</f>
        <v>11.9809523809524</v>
      </c>
      <c r="T33" s="15" t="n">
        <f aca="false">I33+J33/100</f>
        <v>23</v>
      </c>
      <c r="U33" s="12" t="n">
        <f aca="false">INDEX(Scale!$B$3:$B$12,MATCH(T33,Scale!$A$3:$A$12,1))</f>
        <v>6</v>
      </c>
      <c r="V33" s="12" t="n">
        <f aca="false">INDEX(Scale!$B$30:$B$38,MATCH(L33,Scale!$A$30:$A$38,0))</f>
        <v>5</v>
      </c>
      <c r="W33" s="17" t="n">
        <f aca="false">MAX(U33,V33)</f>
        <v>6</v>
      </c>
      <c r="X33" s="12" t="n">
        <f aca="false">IF(W33&lt;=3,1,IF(W33&lt;=5,2,IF(W33&lt;=7,3,IF(W33&lt;=8,4,5))))</f>
        <v>3</v>
      </c>
      <c r="Y33" s="13" t="str">
        <f aca="false">IF(S33&lt;=13,"1 day",IF(S33&lt;=15,"1 long day","2 days"))</f>
        <v>1 day</v>
      </c>
      <c r="Z33" s="12" t="n">
        <f aca="false">ROUND(P33*130*Q33,-1)</f>
        <v>6410</v>
      </c>
      <c r="AA33" s="12" t="n">
        <f aca="false">ROUND(P33*120*Q33,-1)</f>
        <v>5920</v>
      </c>
      <c r="AB33" s="12" t="n">
        <f aca="false">ROUND(P33*110*Q33,-1)</f>
        <v>5430</v>
      </c>
      <c r="AC33" s="12" t="n">
        <f aca="false">ROUND(P33*100*Q33,-1)</f>
        <v>4930</v>
      </c>
      <c r="AD33" s="10" t="s">
        <v>291</v>
      </c>
      <c r="AE33" s="16"/>
      <c r="AF33" s="16"/>
      <c r="AG33" s="16"/>
    </row>
    <row r="34" customFormat="false" ht="15" hidden="false" customHeight="false" outlineLevel="0" collapsed="false">
      <c r="A34" s="12" t="n">
        <v>33</v>
      </c>
      <c r="B34" s="13" t="s">
        <v>218</v>
      </c>
      <c r="C34" s="10" t="s">
        <v>292</v>
      </c>
      <c r="D34" s="14" t="s">
        <v>66</v>
      </c>
      <c r="E34" s="14" t="s">
        <v>66</v>
      </c>
      <c r="F34" s="15" t="n">
        <f aca="false">MAX(IFERROR(INDEX(Stations!$B$2:$B$31,MATCH(D34,Stations!$A$2:$A$31,0)),0),IFERROR(INDEX(Stations!$B$2:$B$31,MATCH(E34,Stations!$A$2:$A$31,0)),0))</f>
        <v>1.8</v>
      </c>
      <c r="G34" s="16" t="n">
        <v>10</v>
      </c>
      <c r="H34" s="16" t="n">
        <v>0</v>
      </c>
      <c r="I34" s="16" t="n">
        <v>9</v>
      </c>
      <c r="J34" s="16" t="n">
        <v>1200</v>
      </c>
      <c r="K34" s="14" t="s">
        <v>130</v>
      </c>
      <c r="L34" s="14" t="s">
        <v>149</v>
      </c>
      <c r="M34" s="14" t="s">
        <v>239</v>
      </c>
      <c r="N34" s="16" t="n">
        <v>3</v>
      </c>
      <c r="O34" s="16" t="s">
        <v>226</v>
      </c>
      <c r="P34" s="12" t="n">
        <f aca="false">INDEX(Scale!$B$16:$B$26,MATCH(K34,Scale!$A$16:$A$26,0))</f>
        <v>7</v>
      </c>
      <c r="Q34" s="15" t="n">
        <f aca="false">I34/3+J34/350</f>
        <v>6.42857142857143</v>
      </c>
      <c r="R34" s="15" t="n">
        <f aca="false">I34/4.2+J34/500</f>
        <v>4.54285714285714</v>
      </c>
      <c r="S34" s="15" t="n">
        <f aca="false">2*F34+2*G34/60+2*H34/60+Q34+1</f>
        <v>11.3619047619048</v>
      </c>
      <c r="T34" s="15" t="n">
        <f aca="false">I34+J34/100</f>
        <v>21</v>
      </c>
      <c r="U34" s="12" t="n">
        <f aca="false">INDEX(Scale!$B$3:$B$12,MATCH(T34,Scale!$A$3:$A$12,1))</f>
        <v>6</v>
      </c>
      <c r="V34" s="12" t="n">
        <f aca="false">INDEX(Scale!$B$30:$B$38,MATCH(L34,Scale!$A$30:$A$38,0))</f>
        <v>3</v>
      </c>
      <c r="W34" s="17" t="n">
        <f aca="false">MAX(U34,V34)</f>
        <v>6</v>
      </c>
      <c r="X34" s="12" t="n">
        <f aca="false">IF(W34&lt;=3,1,IF(W34&lt;=5,2,IF(W34&lt;=7,3,IF(W34&lt;=8,4,5))))</f>
        <v>3</v>
      </c>
      <c r="Y34" s="13" t="str">
        <f aca="false">IF(S34&lt;=13,"1 day",IF(S34&lt;=15,"1 long day","2 days"))</f>
        <v>1 day</v>
      </c>
      <c r="Z34" s="12" t="n">
        <f aca="false">ROUND(P34*130*Q34,-1)</f>
        <v>5850</v>
      </c>
      <c r="AA34" s="12" t="n">
        <f aca="false">ROUND(P34*120*Q34,-1)</f>
        <v>5400</v>
      </c>
      <c r="AB34" s="12" t="n">
        <f aca="false">ROUND(P34*110*Q34,-1)</f>
        <v>4950</v>
      </c>
      <c r="AC34" s="12" t="n">
        <f aca="false">ROUND(P34*100*Q34,-1)</f>
        <v>4500</v>
      </c>
      <c r="AD34" s="10" t="s">
        <v>293</v>
      </c>
      <c r="AE34" s="16"/>
      <c r="AF34" s="16"/>
      <c r="AG34" s="16"/>
    </row>
    <row r="35" customFormat="false" ht="15" hidden="false" customHeight="false" outlineLevel="0" collapsed="false">
      <c r="A35" s="12" t="n">
        <v>34</v>
      </c>
      <c r="B35" s="13" t="s">
        <v>218</v>
      </c>
      <c r="C35" s="10" t="s">
        <v>294</v>
      </c>
      <c r="D35" s="14" t="s">
        <v>66</v>
      </c>
      <c r="E35" s="14" t="s">
        <v>66</v>
      </c>
      <c r="F35" s="15" t="n">
        <f aca="false">MAX(IFERROR(INDEX(Stations!$B$2:$B$31,MATCH(D35,Stations!$A$2:$A$31,0)),0),IFERROR(INDEX(Stations!$B$2:$B$31,MATCH(E35,Stations!$A$2:$A$31,0)),0))</f>
        <v>1.8</v>
      </c>
      <c r="G35" s="16" t="n">
        <v>10</v>
      </c>
      <c r="H35" s="16" t="n">
        <v>0</v>
      </c>
      <c r="I35" s="16" t="n">
        <v>8</v>
      </c>
      <c r="J35" s="16" t="n">
        <v>1300</v>
      </c>
      <c r="K35" s="14" t="s">
        <v>134</v>
      </c>
      <c r="L35" s="14" t="s">
        <v>136</v>
      </c>
      <c r="M35" s="14" t="s">
        <v>239</v>
      </c>
      <c r="N35" s="16" t="n">
        <v>2</v>
      </c>
      <c r="O35" s="16" t="s">
        <v>221</v>
      </c>
      <c r="P35" s="12" t="n">
        <f aca="false">INDEX(Scale!$B$16:$B$26,MATCH(K35,Scale!$A$16:$A$26,0))</f>
        <v>7</v>
      </c>
      <c r="Q35" s="15" t="n">
        <f aca="false">I35/3+J35/350</f>
        <v>6.38095238095238</v>
      </c>
      <c r="R35" s="15" t="n">
        <f aca="false">I35/4.2+J35/500</f>
        <v>4.50476190476191</v>
      </c>
      <c r="S35" s="15" t="n">
        <f aca="false">2*F35+2*G35/60+2*H35/60+Q35+1</f>
        <v>11.3142857142857</v>
      </c>
      <c r="T35" s="15" t="n">
        <f aca="false">I35+J35/100</f>
        <v>21</v>
      </c>
      <c r="U35" s="12" t="n">
        <f aca="false">INDEX(Scale!$B$3:$B$12,MATCH(T35,Scale!$A$3:$A$12,1))</f>
        <v>6</v>
      </c>
      <c r="V35" s="12" t="n">
        <f aca="false">INDEX(Scale!$B$30:$B$38,MATCH(L35,Scale!$A$30:$A$38,0))</f>
        <v>5</v>
      </c>
      <c r="W35" s="17" t="n">
        <f aca="false">MAX(U35,V35)</f>
        <v>6</v>
      </c>
      <c r="X35" s="12" t="n">
        <f aca="false">IF(W35&lt;=3,1,IF(W35&lt;=5,2,IF(W35&lt;=7,3,IF(W35&lt;=8,4,5))))</f>
        <v>3</v>
      </c>
      <c r="Y35" s="13" t="str">
        <f aca="false">IF(S35&lt;=13,"1 day",IF(S35&lt;=15,"1 long day","2 days"))</f>
        <v>1 day</v>
      </c>
      <c r="Z35" s="12" t="n">
        <f aca="false">ROUND(P35*130*Q35,-1)</f>
        <v>5810</v>
      </c>
      <c r="AA35" s="12" t="n">
        <f aca="false">ROUND(P35*120*Q35,-1)</f>
        <v>5360</v>
      </c>
      <c r="AB35" s="12" t="n">
        <f aca="false">ROUND(P35*110*Q35,-1)</f>
        <v>4910</v>
      </c>
      <c r="AC35" s="12" t="n">
        <f aca="false">ROUND(P35*100*Q35,-1)</f>
        <v>4470</v>
      </c>
      <c r="AD35" s="10" t="s">
        <v>295</v>
      </c>
      <c r="AE35" s="16"/>
      <c r="AF35" s="16"/>
      <c r="AG35" s="16"/>
    </row>
    <row r="36" customFormat="false" ht="15" hidden="false" customHeight="false" outlineLevel="0" collapsed="false">
      <c r="A36" s="12" t="n">
        <v>35</v>
      </c>
      <c r="B36" s="13" t="s">
        <v>218</v>
      </c>
      <c r="C36" s="10" t="s">
        <v>296</v>
      </c>
      <c r="D36" s="14" t="s">
        <v>66</v>
      </c>
      <c r="E36" s="14" t="s">
        <v>66</v>
      </c>
      <c r="F36" s="15" t="n">
        <f aca="false">MAX(IFERROR(INDEX(Stations!$B$2:$B$31,MATCH(D36,Stations!$A$2:$A$31,0)),0),IFERROR(INDEX(Stations!$B$2:$B$31,MATCH(E36,Stations!$A$2:$A$31,0)),0))</f>
        <v>1.8</v>
      </c>
      <c r="G36" s="16" t="n">
        <v>10</v>
      </c>
      <c r="H36" s="16" t="n">
        <v>0</v>
      </c>
      <c r="I36" s="16" t="n">
        <v>9</v>
      </c>
      <c r="J36" s="16" t="n">
        <v>1250</v>
      </c>
      <c r="K36" s="14" t="s">
        <v>130</v>
      </c>
      <c r="L36" s="14" t="s">
        <v>136</v>
      </c>
      <c r="M36" s="14" t="s">
        <v>239</v>
      </c>
      <c r="N36" s="16" t="n">
        <v>1</v>
      </c>
      <c r="O36" s="16" t="s">
        <v>221</v>
      </c>
      <c r="P36" s="12" t="n">
        <f aca="false">INDEX(Scale!$B$16:$B$26,MATCH(K36,Scale!$A$16:$A$26,0))</f>
        <v>7</v>
      </c>
      <c r="Q36" s="15" t="n">
        <f aca="false">I36/3+J36/350</f>
        <v>6.57142857142857</v>
      </c>
      <c r="R36" s="15" t="n">
        <f aca="false">I36/4.2+J36/500</f>
        <v>4.64285714285714</v>
      </c>
      <c r="S36" s="15" t="n">
        <f aca="false">2*F36+2*G36/60+2*H36/60+Q36+1</f>
        <v>11.5047619047619</v>
      </c>
      <c r="T36" s="15" t="n">
        <f aca="false">I36+J36/100</f>
        <v>21.5</v>
      </c>
      <c r="U36" s="12" t="n">
        <f aca="false">INDEX(Scale!$B$3:$B$12,MATCH(T36,Scale!$A$3:$A$12,1))</f>
        <v>6</v>
      </c>
      <c r="V36" s="12" t="n">
        <f aca="false">INDEX(Scale!$B$30:$B$38,MATCH(L36,Scale!$A$30:$A$38,0))</f>
        <v>5</v>
      </c>
      <c r="W36" s="17" t="n">
        <f aca="false">MAX(U36,V36)</f>
        <v>6</v>
      </c>
      <c r="X36" s="12" t="n">
        <f aca="false">IF(W36&lt;=3,1,IF(W36&lt;=5,2,IF(W36&lt;=7,3,IF(W36&lt;=8,4,5))))</f>
        <v>3</v>
      </c>
      <c r="Y36" s="13" t="str">
        <f aca="false">IF(S36&lt;=13,"1 day",IF(S36&lt;=15,"1 long day","2 days"))</f>
        <v>1 day</v>
      </c>
      <c r="Z36" s="12" t="n">
        <f aca="false">ROUND(P36*130*Q36,-1)</f>
        <v>5980</v>
      </c>
      <c r="AA36" s="12" t="n">
        <f aca="false">ROUND(P36*120*Q36,-1)</f>
        <v>5520</v>
      </c>
      <c r="AB36" s="12" t="n">
        <f aca="false">ROUND(P36*110*Q36,-1)</f>
        <v>5060</v>
      </c>
      <c r="AC36" s="12" t="n">
        <f aca="false">ROUND(P36*100*Q36,-1)</f>
        <v>4600</v>
      </c>
      <c r="AD36" s="10" t="s">
        <v>297</v>
      </c>
      <c r="AE36" s="16"/>
      <c r="AF36" s="16"/>
      <c r="AG36" s="16"/>
    </row>
    <row r="37" customFormat="false" ht="15" hidden="false" customHeight="false" outlineLevel="0" collapsed="false">
      <c r="A37" s="12" t="n">
        <v>36</v>
      </c>
      <c r="B37" s="13" t="s">
        <v>218</v>
      </c>
      <c r="C37" s="10" t="s">
        <v>298</v>
      </c>
      <c r="D37" s="14" t="s">
        <v>66</v>
      </c>
      <c r="E37" s="14" t="s">
        <v>66</v>
      </c>
      <c r="F37" s="15" t="n">
        <f aca="false">MAX(IFERROR(INDEX(Stations!$B$2:$B$31,MATCH(D37,Stations!$A$2:$A$31,0)),0),IFERROR(INDEX(Stations!$B$2:$B$31,MATCH(E37,Stations!$A$2:$A$31,0)),0))</f>
        <v>1.8</v>
      </c>
      <c r="G37" s="16" t="n">
        <v>20</v>
      </c>
      <c r="H37" s="16" t="n">
        <v>0</v>
      </c>
      <c r="I37" s="16" t="n">
        <v>8</v>
      </c>
      <c r="J37" s="16" t="n">
        <v>900</v>
      </c>
      <c r="K37" s="14" t="s">
        <v>138</v>
      </c>
      <c r="L37" s="14" t="s">
        <v>138</v>
      </c>
      <c r="M37" s="14" t="s">
        <v>286</v>
      </c>
      <c r="N37" s="16" t="n">
        <v>5</v>
      </c>
      <c r="O37" s="16" t="s">
        <v>226</v>
      </c>
      <c r="P37" s="12" t="n">
        <f aca="false">INDEX(Scale!$B$16:$B$26,MATCH(K37,Scale!$A$16:$A$26,0))</f>
        <v>7.5</v>
      </c>
      <c r="Q37" s="15" t="n">
        <f aca="false">I37/3+J37/350</f>
        <v>5.23809523809524</v>
      </c>
      <c r="R37" s="15" t="n">
        <f aca="false">I37/4.2+J37/500</f>
        <v>3.70476190476191</v>
      </c>
      <c r="S37" s="15" t="n">
        <f aca="false">2*F37+2*G37/60+2*H37/60+Q37+1</f>
        <v>10.5047619047619</v>
      </c>
      <c r="T37" s="15" t="n">
        <f aca="false">I37+J37/100</f>
        <v>17</v>
      </c>
      <c r="U37" s="12" t="n">
        <f aca="false">INDEX(Scale!$B$3:$B$12,MATCH(T37,Scale!$A$3:$A$12,1))</f>
        <v>5</v>
      </c>
      <c r="V37" s="12" t="n">
        <f aca="false">INDEX(Scale!$B$30:$B$38,MATCH(L37,Scale!$A$30:$A$38,0))</f>
        <v>8</v>
      </c>
      <c r="W37" s="17" t="n">
        <f aca="false">MAX(U37,V37)</f>
        <v>8</v>
      </c>
      <c r="X37" s="12" t="n">
        <f aca="false">IF(W37&lt;=3,1,IF(W37&lt;=5,2,IF(W37&lt;=7,3,IF(W37&lt;=8,4,5))))</f>
        <v>4</v>
      </c>
      <c r="Y37" s="13" t="str">
        <f aca="false">IF(S37&lt;=13,"1 day",IF(S37&lt;=15,"1 long day","2 days"))</f>
        <v>1 day</v>
      </c>
      <c r="Z37" s="12" t="n">
        <f aca="false">ROUND(P37*130*Q37,-1)</f>
        <v>5110</v>
      </c>
      <c r="AA37" s="12" t="n">
        <f aca="false">ROUND(P37*120*Q37,-1)</f>
        <v>4710</v>
      </c>
      <c r="AB37" s="12" t="n">
        <f aca="false">ROUND(P37*110*Q37,-1)</f>
        <v>4320</v>
      </c>
      <c r="AC37" s="12" t="n">
        <f aca="false">ROUND(P37*100*Q37,-1)</f>
        <v>3930</v>
      </c>
      <c r="AD37" s="10" t="s">
        <v>299</v>
      </c>
      <c r="AE37" s="16"/>
      <c r="AF37" s="16"/>
      <c r="AG37" s="16"/>
    </row>
    <row r="38" customFormat="false" ht="15" hidden="false" customHeight="false" outlineLevel="0" collapsed="false">
      <c r="A38" s="12" t="n">
        <v>37</v>
      </c>
      <c r="B38" s="13" t="s">
        <v>218</v>
      </c>
      <c r="C38" s="10" t="s">
        <v>300</v>
      </c>
      <c r="D38" s="14" t="s">
        <v>66</v>
      </c>
      <c r="E38" s="14" t="s">
        <v>66</v>
      </c>
      <c r="F38" s="15" t="n">
        <f aca="false">MAX(IFERROR(INDEX(Stations!$B$2:$B$31,MATCH(D38,Stations!$A$2:$A$31,0)),0),IFERROR(INDEX(Stations!$B$2:$B$31,MATCH(E38,Stations!$A$2:$A$31,0)),0))</f>
        <v>1.8</v>
      </c>
      <c r="G38" s="16" t="n">
        <v>15</v>
      </c>
      <c r="H38" s="16" t="n">
        <v>0</v>
      </c>
      <c r="I38" s="16" t="n">
        <v>11</v>
      </c>
      <c r="J38" s="16" t="n">
        <v>1300</v>
      </c>
      <c r="K38" s="14" t="s">
        <v>132</v>
      </c>
      <c r="L38" s="14" t="s">
        <v>138</v>
      </c>
      <c r="M38" s="14" t="s">
        <v>286</v>
      </c>
      <c r="N38" s="16" t="n">
        <v>4</v>
      </c>
      <c r="O38" s="16" t="s">
        <v>226</v>
      </c>
      <c r="P38" s="12" t="n">
        <f aca="false">INDEX(Scale!$B$16:$B$26,MATCH(K38,Scale!$A$16:$A$26,0))</f>
        <v>7.5</v>
      </c>
      <c r="Q38" s="15" t="n">
        <f aca="false">I38/3+J38/350</f>
        <v>7.38095238095238</v>
      </c>
      <c r="R38" s="15" t="n">
        <f aca="false">I38/4.2+J38/500</f>
        <v>5.21904761904762</v>
      </c>
      <c r="S38" s="15" t="n">
        <f aca="false">2*F38+2*G38/60+2*H38/60+Q38+1</f>
        <v>12.4809523809524</v>
      </c>
      <c r="T38" s="15" t="n">
        <f aca="false">I38+J38/100</f>
        <v>24</v>
      </c>
      <c r="U38" s="12" t="n">
        <f aca="false">INDEX(Scale!$B$3:$B$12,MATCH(T38,Scale!$A$3:$A$12,1))</f>
        <v>6</v>
      </c>
      <c r="V38" s="12" t="n">
        <f aca="false">INDEX(Scale!$B$30:$B$38,MATCH(L38,Scale!$A$30:$A$38,0))</f>
        <v>8</v>
      </c>
      <c r="W38" s="17" t="n">
        <f aca="false">MAX(U38,V38)</f>
        <v>8</v>
      </c>
      <c r="X38" s="12" t="n">
        <f aca="false">IF(W38&lt;=3,1,IF(W38&lt;=5,2,IF(W38&lt;=7,3,IF(W38&lt;=8,4,5))))</f>
        <v>4</v>
      </c>
      <c r="Y38" s="13" t="str">
        <f aca="false">IF(S38&lt;=13,"1 day",IF(S38&lt;=15,"1 long day","2 days"))</f>
        <v>1 day</v>
      </c>
      <c r="Z38" s="12" t="n">
        <f aca="false">ROUND(P38*130*Q38,-1)</f>
        <v>7200</v>
      </c>
      <c r="AA38" s="12" t="n">
        <f aca="false">ROUND(P38*120*Q38,-1)</f>
        <v>6640</v>
      </c>
      <c r="AB38" s="12" t="n">
        <f aca="false">ROUND(P38*110*Q38,-1)</f>
        <v>6090</v>
      </c>
      <c r="AC38" s="12" t="n">
        <f aca="false">ROUND(P38*100*Q38,-1)</f>
        <v>5540</v>
      </c>
      <c r="AD38" s="10" t="s">
        <v>301</v>
      </c>
      <c r="AE38" s="16"/>
      <c r="AF38" s="16"/>
      <c r="AG38" s="16"/>
    </row>
    <row r="39" customFormat="false" ht="15" hidden="false" customHeight="false" outlineLevel="0" collapsed="false">
      <c r="A39" s="12" t="n">
        <v>38</v>
      </c>
      <c r="B39" s="13" t="s">
        <v>218</v>
      </c>
      <c r="C39" s="10" t="s">
        <v>302</v>
      </c>
      <c r="D39" s="14" t="s">
        <v>66</v>
      </c>
      <c r="E39" s="14" t="s">
        <v>66</v>
      </c>
      <c r="F39" s="15" t="n">
        <f aca="false">MAX(IFERROR(INDEX(Stations!$B$2:$B$31,MATCH(D39,Stations!$A$2:$A$31,0)),0),IFERROR(INDEX(Stations!$B$2:$B$31,MATCH(E39,Stations!$A$2:$A$31,0)),0))</f>
        <v>1.8</v>
      </c>
      <c r="G39" s="16" t="n">
        <v>20</v>
      </c>
      <c r="H39" s="16" t="n">
        <v>0</v>
      </c>
      <c r="I39" s="16" t="n">
        <v>16</v>
      </c>
      <c r="J39" s="16" t="n">
        <v>1800</v>
      </c>
      <c r="K39" s="14" t="s">
        <v>138</v>
      </c>
      <c r="L39" s="14" t="s">
        <v>138</v>
      </c>
      <c r="M39" s="14" t="s">
        <v>286</v>
      </c>
      <c r="N39" s="16" t="n">
        <v>4</v>
      </c>
      <c r="O39" s="16" t="s">
        <v>252</v>
      </c>
      <c r="P39" s="12" t="n">
        <f aca="false">INDEX(Scale!$B$16:$B$26,MATCH(K39,Scale!$A$16:$A$26,0))</f>
        <v>7.5</v>
      </c>
      <c r="Q39" s="15" t="n">
        <f aca="false">I39/3+J39/350</f>
        <v>10.4761904761905</v>
      </c>
      <c r="R39" s="15" t="n">
        <f aca="false">I39/4.2+J39/500</f>
        <v>7.40952380952381</v>
      </c>
      <c r="S39" s="15" t="n">
        <f aca="false">2*F39+2*G39/60+2*H39/60+Q39+1</f>
        <v>15.7428571428571</v>
      </c>
      <c r="T39" s="15" t="n">
        <f aca="false">I39+J39/100</f>
        <v>34</v>
      </c>
      <c r="U39" s="12" t="n">
        <f aca="false">INDEX(Scale!$B$3:$B$12,MATCH(T39,Scale!$A$3:$A$12,1))</f>
        <v>8</v>
      </c>
      <c r="V39" s="12" t="n">
        <f aca="false">INDEX(Scale!$B$30:$B$38,MATCH(L39,Scale!$A$30:$A$38,0))</f>
        <v>8</v>
      </c>
      <c r="W39" s="17" t="n">
        <f aca="false">MAX(U39,V39)</f>
        <v>8</v>
      </c>
      <c r="X39" s="12" t="n">
        <f aca="false">IF(W39&lt;=3,1,IF(W39&lt;=5,2,IF(W39&lt;=7,3,IF(W39&lt;=8,4,5))))</f>
        <v>4</v>
      </c>
      <c r="Y39" s="13" t="str">
        <f aca="false">IF(S39&lt;=13,"1 day",IF(S39&lt;=15,"1 long day","2 days"))</f>
        <v>2 days</v>
      </c>
      <c r="Z39" s="12" t="n">
        <f aca="false">ROUND(P39*130*Q39,-1)</f>
        <v>10210</v>
      </c>
      <c r="AA39" s="12" t="n">
        <f aca="false">ROUND(P39*120*Q39,-1)</f>
        <v>9430</v>
      </c>
      <c r="AB39" s="12" t="n">
        <f aca="false">ROUND(P39*110*Q39,-1)</f>
        <v>8640</v>
      </c>
      <c r="AC39" s="12" t="n">
        <f aca="false">ROUND(P39*100*Q39,-1)</f>
        <v>7860</v>
      </c>
      <c r="AD39" s="10" t="s">
        <v>303</v>
      </c>
      <c r="AE39" s="16"/>
      <c r="AF39" s="16"/>
      <c r="AG39" s="16"/>
    </row>
    <row r="40" customFormat="false" ht="15" hidden="false" customHeight="false" outlineLevel="0" collapsed="false">
      <c r="A40" s="12" t="n">
        <v>39</v>
      </c>
      <c r="B40" s="13" t="s">
        <v>218</v>
      </c>
      <c r="C40" s="10" t="s">
        <v>304</v>
      </c>
      <c r="D40" s="14" t="s">
        <v>66</v>
      </c>
      <c r="E40" s="14" t="s">
        <v>66</v>
      </c>
      <c r="F40" s="15" t="n">
        <f aca="false">MAX(IFERROR(INDEX(Stations!$B$2:$B$31,MATCH(D40,Stations!$A$2:$A$31,0)),0),IFERROR(INDEX(Stations!$B$2:$B$31,MATCH(E40,Stations!$A$2:$A$31,0)),0))</f>
        <v>1.8</v>
      </c>
      <c r="G40" s="16" t="n">
        <v>25</v>
      </c>
      <c r="H40" s="16" t="n">
        <v>0</v>
      </c>
      <c r="I40" s="16" t="n">
        <v>12</v>
      </c>
      <c r="J40" s="16" t="n">
        <v>750</v>
      </c>
      <c r="K40" s="14" t="s">
        <v>128</v>
      </c>
      <c r="L40" s="14" t="s">
        <v>147</v>
      </c>
      <c r="M40" s="14" t="s">
        <v>231</v>
      </c>
      <c r="N40" s="16" t="n">
        <v>3</v>
      </c>
      <c r="O40" s="16" t="s">
        <v>226</v>
      </c>
      <c r="P40" s="12" t="n">
        <f aca="false">INDEX(Scale!$B$16:$B$26,MATCH(K40,Scale!$A$16:$A$26,0))</f>
        <v>6.3</v>
      </c>
      <c r="Q40" s="15" t="n">
        <f aca="false">I40/3+J40/350</f>
        <v>6.14285714285714</v>
      </c>
      <c r="R40" s="15" t="n">
        <f aca="false">I40/4.2+J40/500</f>
        <v>4.35714285714286</v>
      </c>
      <c r="S40" s="15" t="n">
        <f aca="false">2*F40+2*G40/60+2*H40/60+Q40+1</f>
        <v>11.5761904761905</v>
      </c>
      <c r="T40" s="15" t="n">
        <f aca="false">I40+J40/100</f>
        <v>19.5</v>
      </c>
      <c r="U40" s="12" t="n">
        <f aca="false">INDEX(Scale!$B$3:$B$12,MATCH(T40,Scale!$A$3:$A$12,1))</f>
        <v>5</v>
      </c>
      <c r="V40" s="12" t="n">
        <f aca="false">INDEX(Scale!$B$30:$B$38,MATCH(L40,Scale!$A$30:$A$38,0))</f>
        <v>0</v>
      </c>
      <c r="W40" s="17" t="n">
        <f aca="false">MAX(U40,V40)</f>
        <v>5</v>
      </c>
      <c r="X40" s="12" t="n">
        <f aca="false">IF(W40&lt;=3,1,IF(W40&lt;=5,2,IF(W40&lt;=7,3,IF(W40&lt;=8,4,5))))</f>
        <v>2</v>
      </c>
      <c r="Y40" s="13" t="str">
        <f aca="false">IF(S40&lt;=13,"1 day",IF(S40&lt;=15,"1 long day","2 days"))</f>
        <v>1 day</v>
      </c>
      <c r="Z40" s="12" t="n">
        <f aca="false">ROUND(P40*130*Q40,-1)</f>
        <v>5030</v>
      </c>
      <c r="AA40" s="12" t="n">
        <f aca="false">ROUND(P40*120*Q40,-1)</f>
        <v>4640</v>
      </c>
      <c r="AB40" s="12" t="n">
        <f aca="false">ROUND(P40*110*Q40,-1)</f>
        <v>4260</v>
      </c>
      <c r="AC40" s="12" t="n">
        <f aca="false">ROUND(P40*100*Q40,-1)</f>
        <v>3870</v>
      </c>
      <c r="AD40" s="10" t="s">
        <v>305</v>
      </c>
      <c r="AE40" s="16"/>
      <c r="AF40" s="16"/>
      <c r="AG40" s="16"/>
    </row>
    <row r="41" customFormat="false" ht="15" hidden="false" customHeight="false" outlineLevel="0" collapsed="false">
      <c r="A41" s="12" t="n">
        <v>40</v>
      </c>
      <c r="B41" s="13" t="s">
        <v>218</v>
      </c>
      <c r="C41" s="10" t="s">
        <v>306</v>
      </c>
      <c r="D41" s="14" t="s">
        <v>66</v>
      </c>
      <c r="E41" s="14" t="s">
        <v>66</v>
      </c>
      <c r="F41" s="15" t="n">
        <f aca="false">MAX(IFERROR(INDEX(Stations!$B$2:$B$31,MATCH(D41,Stations!$A$2:$A$31,0)),0),IFERROR(INDEX(Stations!$B$2:$B$31,MATCH(E41,Stations!$A$2:$A$31,0)),0))</f>
        <v>1.8</v>
      </c>
      <c r="G41" s="16" t="n">
        <v>25</v>
      </c>
      <c r="H41" s="16" t="n">
        <v>0</v>
      </c>
      <c r="I41" s="16" t="n">
        <v>16</v>
      </c>
      <c r="J41" s="16" t="n">
        <v>1100</v>
      </c>
      <c r="K41" s="14" t="s">
        <v>128</v>
      </c>
      <c r="L41" s="14" t="s">
        <v>147</v>
      </c>
      <c r="M41" s="14" t="s">
        <v>239</v>
      </c>
      <c r="N41" s="16" t="n">
        <v>3</v>
      </c>
      <c r="O41" s="16" t="s">
        <v>226</v>
      </c>
      <c r="P41" s="12" t="n">
        <f aca="false">INDEX(Scale!$B$16:$B$26,MATCH(K41,Scale!$A$16:$A$26,0))</f>
        <v>6.3</v>
      </c>
      <c r="Q41" s="15" t="n">
        <f aca="false">I41/3+J41/350</f>
        <v>8.47619047619048</v>
      </c>
      <c r="R41" s="15" t="n">
        <f aca="false">I41/4.2+J41/500</f>
        <v>6.00952380952381</v>
      </c>
      <c r="S41" s="15" t="n">
        <f aca="false">2*F41+2*G41/60+2*H41/60+Q41+1</f>
        <v>13.9095238095238</v>
      </c>
      <c r="T41" s="15" t="n">
        <f aca="false">I41+J41/100</f>
        <v>27</v>
      </c>
      <c r="U41" s="12" t="n">
        <f aca="false">INDEX(Scale!$B$3:$B$12,MATCH(T41,Scale!$A$3:$A$12,1))</f>
        <v>7</v>
      </c>
      <c r="V41" s="12" t="n">
        <f aca="false">INDEX(Scale!$B$30:$B$38,MATCH(L41,Scale!$A$30:$A$38,0))</f>
        <v>0</v>
      </c>
      <c r="W41" s="17" t="n">
        <f aca="false">MAX(U41,V41)</f>
        <v>7</v>
      </c>
      <c r="X41" s="12" t="n">
        <f aca="false">IF(W41&lt;=3,1,IF(W41&lt;=5,2,IF(W41&lt;=7,3,IF(W41&lt;=8,4,5))))</f>
        <v>3</v>
      </c>
      <c r="Y41" s="13" t="str">
        <f aca="false">IF(S41&lt;=13,"1 day",IF(S41&lt;=15,"1 long day","2 days"))</f>
        <v>1 long day</v>
      </c>
      <c r="Z41" s="12" t="n">
        <f aca="false">ROUND(P41*130*Q41,-1)</f>
        <v>6940</v>
      </c>
      <c r="AA41" s="12" t="n">
        <f aca="false">ROUND(P41*120*Q41,-1)</f>
        <v>6410</v>
      </c>
      <c r="AB41" s="12" t="n">
        <f aca="false">ROUND(P41*110*Q41,-1)</f>
        <v>5870</v>
      </c>
      <c r="AC41" s="12" t="n">
        <f aca="false">ROUND(P41*100*Q41,-1)</f>
        <v>5340</v>
      </c>
      <c r="AD41" s="10" t="s">
        <v>307</v>
      </c>
      <c r="AE41" s="16"/>
      <c r="AF41" s="16"/>
      <c r="AG41" s="16"/>
    </row>
    <row r="42" customFormat="false" ht="15" hidden="false" customHeight="false" outlineLevel="0" collapsed="false">
      <c r="A42" s="12" t="n">
        <v>41</v>
      </c>
      <c r="B42" s="13" t="s">
        <v>218</v>
      </c>
      <c r="C42" s="10" t="s">
        <v>308</v>
      </c>
      <c r="D42" s="14" t="s">
        <v>66</v>
      </c>
      <c r="E42" s="14" t="s">
        <v>66</v>
      </c>
      <c r="F42" s="15" t="n">
        <f aca="false">MAX(IFERROR(INDEX(Stations!$B$2:$B$31,MATCH(D42,Stations!$A$2:$A$31,0)),0),IFERROR(INDEX(Stations!$B$2:$B$31,MATCH(E42,Stations!$A$2:$A$31,0)),0))</f>
        <v>1.8</v>
      </c>
      <c r="G42" s="16" t="n">
        <v>25</v>
      </c>
      <c r="H42" s="16" t="n">
        <v>0</v>
      </c>
      <c r="I42" s="16" t="n">
        <v>18</v>
      </c>
      <c r="J42" s="16" t="n">
        <v>1650</v>
      </c>
      <c r="K42" s="14" t="s">
        <v>130</v>
      </c>
      <c r="L42" s="14" t="s">
        <v>149</v>
      </c>
      <c r="M42" s="14" t="s">
        <v>286</v>
      </c>
      <c r="N42" s="16" t="n">
        <v>3</v>
      </c>
      <c r="O42" s="16" t="s">
        <v>226</v>
      </c>
      <c r="P42" s="12" t="n">
        <f aca="false">INDEX(Scale!$B$16:$B$26,MATCH(K42,Scale!$A$16:$A$26,0))</f>
        <v>7</v>
      </c>
      <c r="Q42" s="15" t="n">
        <f aca="false">I42/3+J42/350</f>
        <v>10.7142857142857</v>
      </c>
      <c r="R42" s="15" t="n">
        <f aca="false">I42/4.2+J42/500</f>
        <v>7.58571428571429</v>
      </c>
      <c r="S42" s="15" t="n">
        <f aca="false">2*F42+2*G42/60+2*H42/60+Q42+1</f>
        <v>16.1476190476191</v>
      </c>
      <c r="T42" s="15" t="n">
        <f aca="false">I42+J42/100</f>
        <v>34.5</v>
      </c>
      <c r="U42" s="12" t="n">
        <f aca="false">INDEX(Scale!$B$3:$B$12,MATCH(T42,Scale!$A$3:$A$12,1))</f>
        <v>8</v>
      </c>
      <c r="V42" s="12" t="n">
        <f aca="false">INDEX(Scale!$B$30:$B$38,MATCH(L42,Scale!$A$30:$A$38,0))</f>
        <v>3</v>
      </c>
      <c r="W42" s="17" t="n">
        <f aca="false">MAX(U42,V42)</f>
        <v>8</v>
      </c>
      <c r="X42" s="12" t="n">
        <f aca="false">IF(W42&lt;=3,1,IF(W42&lt;=5,2,IF(W42&lt;=7,3,IF(W42&lt;=8,4,5))))</f>
        <v>4</v>
      </c>
      <c r="Y42" s="13" t="str">
        <f aca="false">IF(S42&lt;=13,"1 day",IF(S42&lt;=15,"1 long day","2 days"))</f>
        <v>2 days</v>
      </c>
      <c r="Z42" s="12" t="n">
        <f aca="false">ROUND(P42*130*Q42,-1)</f>
        <v>9750</v>
      </c>
      <c r="AA42" s="12" t="n">
        <f aca="false">ROUND(P42*120*Q42,-1)</f>
        <v>9000</v>
      </c>
      <c r="AB42" s="12" t="n">
        <f aca="false">ROUND(P42*110*Q42,-1)</f>
        <v>8250</v>
      </c>
      <c r="AC42" s="12" t="n">
        <f aca="false">ROUND(P42*100*Q42,-1)</f>
        <v>7500</v>
      </c>
      <c r="AD42" s="10" t="s">
        <v>309</v>
      </c>
      <c r="AE42" s="16"/>
      <c r="AF42" s="16"/>
      <c r="AG42" s="16"/>
    </row>
    <row r="43" customFormat="false" ht="15" hidden="false" customHeight="false" outlineLevel="0" collapsed="false">
      <c r="A43" s="12" t="n">
        <v>42</v>
      </c>
      <c r="B43" s="13" t="s">
        <v>266</v>
      </c>
      <c r="C43" s="10" t="s">
        <v>310</v>
      </c>
      <c r="D43" s="14" t="s">
        <v>66</v>
      </c>
      <c r="E43" s="14" t="s">
        <v>67</v>
      </c>
      <c r="F43" s="15" t="n">
        <f aca="false">MAX(IFERROR(INDEX(Stations!$B$2:$B$31,MATCH(D43,Stations!$A$2:$A$31,0)),0),IFERROR(INDEX(Stations!$B$2:$B$31,MATCH(E43,Stations!$A$2:$A$31,0)),0))</f>
        <v>1.9</v>
      </c>
      <c r="G43" s="16" t="n">
        <v>10</v>
      </c>
      <c r="H43" s="16" t="n">
        <v>0</v>
      </c>
      <c r="I43" s="16" t="n">
        <v>12</v>
      </c>
      <c r="J43" s="16" t="n">
        <v>650</v>
      </c>
      <c r="K43" s="14" t="s">
        <v>126</v>
      </c>
      <c r="L43" s="14" t="s">
        <v>147</v>
      </c>
      <c r="M43" s="14" t="s">
        <v>231</v>
      </c>
      <c r="N43" s="16" t="n">
        <v>5</v>
      </c>
      <c r="O43" s="16" t="s">
        <v>226</v>
      </c>
      <c r="P43" s="12" t="n">
        <f aca="false">INDEX(Scale!$B$16:$B$26,MATCH(K43,Scale!$A$16:$A$26,0))</f>
        <v>5.5</v>
      </c>
      <c r="Q43" s="15" t="n">
        <f aca="false">I43/3+J43/350</f>
        <v>5.85714285714286</v>
      </c>
      <c r="R43" s="15" t="n">
        <f aca="false">I43/4.2+J43/500</f>
        <v>4.15714285714286</v>
      </c>
      <c r="S43" s="15" t="n">
        <f aca="false">2*F43+2*G43/60+2*H43/60+Q43+1</f>
        <v>10.9904761904762</v>
      </c>
      <c r="T43" s="15" t="n">
        <f aca="false">I43+J43/100</f>
        <v>18.5</v>
      </c>
      <c r="U43" s="12" t="n">
        <f aca="false">INDEX(Scale!$B$3:$B$12,MATCH(T43,Scale!$A$3:$A$12,1))</f>
        <v>5</v>
      </c>
      <c r="V43" s="12" t="n">
        <f aca="false">INDEX(Scale!$B$30:$B$38,MATCH(L43,Scale!$A$30:$A$38,0))</f>
        <v>0</v>
      </c>
      <c r="W43" s="17" t="n">
        <f aca="false">MAX(U43,V43)</f>
        <v>5</v>
      </c>
      <c r="X43" s="12" t="n">
        <f aca="false">IF(W43&lt;=3,1,IF(W43&lt;=5,2,IF(W43&lt;=7,3,IF(W43&lt;=8,4,5))))</f>
        <v>2</v>
      </c>
      <c r="Y43" s="13" t="str">
        <f aca="false">IF(S43&lt;=13,"1 day",IF(S43&lt;=15,"1 long day","2 days"))</f>
        <v>1 day</v>
      </c>
      <c r="Z43" s="12" t="n">
        <f aca="false">ROUND(P43*130*Q43,-1)</f>
        <v>4190</v>
      </c>
      <c r="AA43" s="12" t="n">
        <f aca="false">ROUND(P43*120*Q43,-1)</f>
        <v>3870</v>
      </c>
      <c r="AB43" s="12" t="n">
        <f aca="false">ROUND(P43*110*Q43,-1)</f>
        <v>3540</v>
      </c>
      <c r="AC43" s="12" t="n">
        <f aca="false">ROUND(P43*100*Q43,-1)</f>
        <v>3220</v>
      </c>
      <c r="AD43" s="10" t="s">
        <v>311</v>
      </c>
      <c r="AE43" s="16"/>
      <c r="AF43" s="16"/>
      <c r="AG43" s="16"/>
    </row>
    <row r="44" customFormat="false" ht="15" hidden="false" customHeight="false" outlineLevel="0" collapsed="false">
      <c r="A44" s="12" t="n">
        <v>43</v>
      </c>
      <c r="B44" s="13" t="s">
        <v>218</v>
      </c>
      <c r="C44" s="10" t="s">
        <v>312</v>
      </c>
      <c r="D44" s="14" t="s">
        <v>66</v>
      </c>
      <c r="E44" s="14" t="s">
        <v>65</v>
      </c>
      <c r="F44" s="15" t="n">
        <f aca="false">MAX(IFERROR(INDEX(Stations!$B$2:$B$31,MATCH(D44,Stations!$A$2:$A$31,0)),0),IFERROR(INDEX(Stations!$B$2:$B$31,MATCH(E44,Stations!$A$2:$A$31,0)),0))</f>
        <v>1.8</v>
      </c>
      <c r="G44" s="16" t="n">
        <v>20</v>
      </c>
      <c r="H44" s="16" t="n">
        <v>0</v>
      </c>
      <c r="I44" s="16" t="n">
        <v>13</v>
      </c>
      <c r="J44" s="16" t="n">
        <v>550</v>
      </c>
      <c r="K44" s="14" t="s">
        <v>126</v>
      </c>
      <c r="L44" s="14" t="s">
        <v>147</v>
      </c>
      <c r="M44" s="14" t="s">
        <v>220</v>
      </c>
      <c r="N44" s="16" t="n">
        <v>3</v>
      </c>
      <c r="O44" s="16" t="s">
        <v>226</v>
      </c>
      <c r="P44" s="12" t="n">
        <f aca="false">INDEX(Scale!$B$16:$B$26,MATCH(K44,Scale!$A$16:$A$26,0))</f>
        <v>5.5</v>
      </c>
      <c r="Q44" s="15" t="n">
        <f aca="false">I44/3+J44/350</f>
        <v>5.9047619047619</v>
      </c>
      <c r="R44" s="15" t="n">
        <f aca="false">I44/4.2+J44/500</f>
        <v>4.19523809523809</v>
      </c>
      <c r="S44" s="15" t="n">
        <f aca="false">2*F44+2*G44/60+2*H44/60+Q44+1</f>
        <v>11.1714285714286</v>
      </c>
      <c r="T44" s="15" t="n">
        <f aca="false">I44+J44/100</f>
        <v>18.5</v>
      </c>
      <c r="U44" s="12" t="n">
        <f aca="false">INDEX(Scale!$B$3:$B$12,MATCH(T44,Scale!$A$3:$A$12,1))</f>
        <v>5</v>
      </c>
      <c r="V44" s="12" t="n">
        <f aca="false">INDEX(Scale!$B$30:$B$38,MATCH(L44,Scale!$A$30:$A$38,0))</f>
        <v>0</v>
      </c>
      <c r="W44" s="17" t="n">
        <f aca="false">MAX(U44,V44)</f>
        <v>5</v>
      </c>
      <c r="X44" s="12" t="n">
        <f aca="false">IF(W44&lt;=3,1,IF(W44&lt;=5,2,IF(W44&lt;=7,3,IF(W44&lt;=8,4,5))))</f>
        <v>2</v>
      </c>
      <c r="Y44" s="13" t="str">
        <f aca="false">IF(S44&lt;=13,"1 day",IF(S44&lt;=15,"1 long day","2 days"))</f>
        <v>1 day</v>
      </c>
      <c r="Z44" s="12" t="n">
        <f aca="false">ROUND(P44*130*Q44,-1)</f>
        <v>4220</v>
      </c>
      <c r="AA44" s="12" t="n">
        <f aca="false">ROUND(P44*120*Q44,-1)</f>
        <v>3900</v>
      </c>
      <c r="AB44" s="12" t="n">
        <f aca="false">ROUND(P44*110*Q44,-1)</f>
        <v>3570</v>
      </c>
      <c r="AC44" s="12" t="n">
        <f aca="false">ROUND(P44*100*Q44,-1)</f>
        <v>3250</v>
      </c>
      <c r="AD44" s="10" t="s">
        <v>313</v>
      </c>
      <c r="AE44" s="16"/>
      <c r="AF44" s="16"/>
      <c r="AG44" s="16"/>
    </row>
    <row r="45" customFormat="false" ht="15" hidden="false" customHeight="false" outlineLevel="0" collapsed="false">
      <c r="A45" s="12" t="n">
        <v>44</v>
      </c>
      <c r="B45" s="13" t="s">
        <v>218</v>
      </c>
      <c r="C45" s="10" t="s">
        <v>314</v>
      </c>
      <c r="D45" s="14" t="s">
        <v>66</v>
      </c>
      <c r="E45" s="14" t="s">
        <v>66</v>
      </c>
      <c r="F45" s="15" t="n">
        <f aca="false">MAX(IFERROR(INDEX(Stations!$B$2:$B$31,MATCH(D45,Stations!$A$2:$A$31,0)),0),IFERROR(INDEX(Stations!$B$2:$B$31,MATCH(E45,Stations!$A$2:$A$31,0)),0))</f>
        <v>1.8</v>
      </c>
      <c r="G45" s="16" t="n">
        <v>20</v>
      </c>
      <c r="H45" s="16" t="n">
        <v>0</v>
      </c>
      <c r="I45" s="16" t="n">
        <v>8</v>
      </c>
      <c r="J45" s="16" t="n">
        <v>500</v>
      </c>
      <c r="K45" s="14" t="s">
        <v>126</v>
      </c>
      <c r="L45" s="14" t="s">
        <v>147</v>
      </c>
      <c r="M45" s="14" t="s">
        <v>234</v>
      </c>
      <c r="N45" s="16" t="n">
        <v>5</v>
      </c>
      <c r="O45" s="16" t="s">
        <v>252</v>
      </c>
      <c r="P45" s="12" t="n">
        <f aca="false">INDEX(Scale!$B$16:$B$26,MATCH(K45,Scale!$A$16:$A$26,0))</f>
        <v>5.5</v>
      </c>
      <c r="Q45" s="15" t="n">
        <f aca="false">I45/3+J45/350</f>
        <v>4.0952380952381</v>
      </c>
      <c r="R45" s="15" t="n">
        <f aca="false">I45/4.2+J45/500</f>
        <v>2.9047619047619</v>
      </c>
      <c r="S45" s="15" t="n">
        <f aca="false">2*F45+2*G45/60+2*H45/60+Q45+1</f>
        <v>9.36190476190476</v>
      </c>
      <c r="T45" s="15" t="n">
        <f aca="false">I45+J45/100</f>
        <v>13</v>
      </c>
      <c r="U45" s="12" t="n">
        <f aca="false">INDEX(Scale!$B$3:$B$12,MATCH(T45,Scale!$A$3:$A$12,1))</f>
        <v>4</v>
      </c>
      <c r="V45" s="12" t="n">
        <f aca="false">INDEX(Scale!$B$30:$B$38,MATCH(L45,Scale!$A$30:$A$38,0))</f>
        <v>0</v>
      </c>
      <c r="W45" s="17" t="n">
        <f aca="false">MAX(U45,V45)</f>
        <v>4</v>
      </c>
      <c r="X45" s="12" t="n">
        <f aca="false">IF(W45&lt;=3,1,IF(W45&lt;=5,2,IF(W45&lt;=7,3,IF(W45&lt;=8,4,5))))</f>
        <v>2</v>
      </c>
      <c r="Y45" s="13" t="str">
        <f aca="false">IF(S45&lt;=13,"1 day",IF(S45&lt;=15,"1 long day","2 days"))</f>
        <v>1 day</v>
      </c>
      <c r="Z45" s="12" t="n">
        <f aca="false">ROUND(P45*130*Q45,-1)</f>
        <v>2930</v>
      </c>
      <c r="AA45" s="12" t="n">
        <f aca="false">ROUND(P45*120*Q45,-1)</f>
        <v>2700</v>
      </c>
      <c r="AB45" s="12" t="n">
        <f aca="false">ROUND(P45*110*Q45,-1)</f>
        <v>2480</v>
      </c>
      <c r="AC45" s="12" t="n">
        <f aca="false">ROUND(P45*100*Q45,-1)</f>
        <v>2250</v>
      </c>
      <c r="AD45" s="10" t="s">
        <v>315</v>
      </c>
      <c r="AE45" s="16"/>
      <c r="AF45" s="16"/>
      <c r="AG45" s="16"/>
    </row>
    <row r="46" customFormat="false" ht="15" hidden="false" customHeight="false" outlineLevel="0" collapsed="false">
      <c r="A46" s="12" t="n">
        <v>45</v>
      </c>
      <c r="B46" s="13" t="s">
        <v>266</v>
      </c>
      <c r="C46" s="10" t="s">
        <v>316</v>
      </c>
      <c r="D46" s="14" t="s">
        <v>67</v>
      </c>
      <c r="E46" s="14" t="s">
        <v>67</v>
      </c>
      <c r="F46" s="15" t="n">
        <f aca="false">MAX(IFERROR(INDEX(Stations!$B$2:$B$31,MATCH(D46,Stations!$A$2:$A$31,0)),0),IFERROR(INDEX(Stations!$B$2:$B$31,MATCH(E46,Stations!$A$2:$A$31,0)),0))</f>
        <v>1.9</v>
      </c>
      <c r="G46" s="16" t="n">
        <v>5</v>
      </c>
      <c r="H46" s="16" t="n">
        <v>0</v>
      </c>
      <c r="I46" s="16" t="n">
        <v>8</v>
      </c>
      <c r="J46" s="16" t="n">
        <v>250</v>
      </c>
      <c r="K46" s="14" t="s">
        <v>124</v>
      </c>
      <c r="L46" s="14" t="s">
        <v>147</v>
      </c>
      <c r="M46" s="14" t="s">
        <v>220</v>
      </c>
      <c r="N46" s="16" t="n">
        <v>4</v>
      </c>
      <c r="O46" s="16" t="s">
        <v>226</v>
      </c>
      <c r="P46" s="12" t="n">
        <f aca="false">INDEX(Scale!$B$16:$B$26,MATCH(K46,Scale!$A$16:$A$26,0))</f>
        <v>4.5</v>
      </c>
      <c r="Q46" s="15" t="n">
        <f aca="false">I46/3+J46/350</f>
        <v>3.38095238095238</v>
      </c>
      <c r="R46" s="15" t="n">
        <f aca="false">I46/4.2+J46/500</f>
        <v>2.4047619047619</v>
      </c>
      <c r="S46" s="15" t="n">
        <f aca="false">2*F46+2*G46/60+2*H46/60+Q46+1</f>
        <v>8.34761904761905</v>
      </c>
      <c r="T46" s="15" t="n">
        <f aca="false">I46+J46/100</f>
        <v>10.5</v>
      </c>
      <c r="U46" s="12" t="n">
        <f aca="false">INDEX(Scale!$B$3:$B$12,MATCH(T46,Scale!$A$3:$A$12,1))</f>
        <v>3</v>
      </c>
      <c r="V46" s="12" t="n">
        <f aca="false">INDEX(Scale!$B$30:$B$38,MATCH(L46,Scale!$A$30:$A$38,0))</f>
        <v>0</v>
      </c>
      <c r="W46" s="17" t="n">
        <f aca="false">MAX(U46,V46)</f>
        <v>3</v>
      </c>
      <c r="X46" s="12" t="n">
        <f aca="false">IF(W46&lt;=3,1,IF(W46&lt;=5,2,IF(W46&lt;=7,3,IF(W46&lt;=8,4,5))))</f>
        <v>1</v>
      </c>
      <c r="Y46" s="13" t="str">
        <f aca="false">IF(S46&lt;=13,"1 day",IF(S46&lt;=15,"1 long day","2 days"))</f>
        <v>1 day</v>
      </c>
      <c r="Z46" s="12" t="n">
        <f aca="false">ROUND(P46*130*Q46,-1)</f>
        <v>1980</v>
      </c>
      <c r="AA46" s="12" t="n">
        <f aca="false">ROUND(P46*120*Q46,-1)</f>
        <v>1830</v>
      </c>
      <c r="AB46" s="12" t="n">
        <f aca="false">ROUND(P46*110*Q46,-1)</f>
        <v>1670</v>
      </c>
      <c r="AC46" s="12" t="n">
        <f aca="false">ROUND(P46*100*Q46,-1)</f>
        <v>1520</v>
      </c>
      <c r="AD46" s="10" t="s">
        <v>317</v>
      </c>
      <c r="AE46" s="16"/>
      <c r="AF46" s="16"/>
      <c r="AG46" s="16"/>
    </row>
    <row r="47" customFormat="false" ht="15" hidden="false" customHeight="false" outlineLevel="0" collapsed="false">
      <c r="A47" s="12" t="n">
        <v>46</v>
      </c>
      <c r="B47" s="13" t="s">
        <v>266</v>
      </c>
      <c r="C47" s="10" t="s">
        <v>318</v>
      </c>
      <c r="D47" s="14" t="s">
        <v>67</v>
      </c>
      <c r="E47" s="14" t="s">
        <v>67</v>
      </c>
      <c r="F47" s="15" t="n">
        <f aca="false">MAX(IFERROR(INDEX(Stations!$B$2:$B$31,MATCH(D47,Stations!$A$2:$A$31,0)),0),IFERROR(INDEX(Stations!$B$2:$B$31,MATCH(E47,Stations!$A$2:$A$31,0)),0))</f>
        <v>1.9</v>
      </c>
      <c r="G47" s="16" t="n">
        <v>10</v>
      </c>
      <c r="H47" s="16" t="n">
        <v>0</v>
      </c>
      <c r="I47" s="16" t="n">
        <v>7</v>
      </c>
      <c r="J47" s="16" t="n">
        <v>450</v>
      </c>
      <c r="K47" s="14" t="s">
        <v>128</v>
      </c>
      <c r="L47" s="14" t="s">
        <v>147</v>
      </c>
      <c r="M47" s="14" t="s">
        <v>231</v>
      </c>
      <c r="N47" s="16" t="n">
        <v>3</v>
      </c>
      <c r="O47" s="16" t="s">
        <v>221</v>
      </c>
      <c r="P47" s="12" t="n">
        <f aca="false">INDEX(Scale!$B$16:$B$26,MATCH(K47,Scale!$A$16:$A$26,0))</f>
        <v>6.3</v>
      </c>
      <c r="Q47" s="15" t="n">
        <f aca="false">I47/3+J47/350</f>
        <v>3.61904761904762</v>
      </c>
      <c r="R47" s="15" t="n">
        <f aca="false">I47/4.2+J47/500</f>
        <v>2.56666666666667</v>
      </c>
      <c r="S47" s="15" t="n">
        <f aca="false">2*F47+2*G47/60+2*H47/60+Q47+1</f>
        <v>8.75238095238095</v>
      </c>
      <c r="T47" s="15" t="n">
        <f aca="false">I47+J47/100</f>
        <v>11.5</v>
      </c>
      <c r="U47" s="12" t="n">
        <f aca="false">INDEX(Scale!$B$3:$B$12,MATCH(T47,Scale!$A$3:$A$12,1))</f>
        <v>3</v>
      </c>
      <c r="V47" s="12" t="n">
        <f aca="false">INDEX(Scale!$B$30:$B$38,MATCH(L47,Scale!$A$30:$A$38,0))</f>
        <v>0</v>
      </c>
      <c r="W47" s="17" t="n">
        <f aca="false">MAX(U47,V47)</f>
        <v>3</v>
      </c>
      <c r="X47" s="12" t="n">
        <f aca="false">IF(W47&lt;=3,1,IF(W47&lt;=5,2,IF(W47&lt;=7,3,IF(W47&lt;=8,4,5))))</f>
        <v>1</v>
      </c>
      <c r="Y47" s="13" t="str">
        <f aca="false">IF(S47&lt;=13,"1 day",IF(S47&lt;=15,"1 long day","2 days"))</f>
        <v>1 day</v>
      </c>
      <c r="Z47" s="12" t="n">
        <f aca="false">ROUND(P47*130*Q47,-1)</f>
        <v>2960</v>
      </c>
      <c r="AA47" s="12" t="n">
        <f aca="false">ROUND(P47*120*Q47,-1)</f>
        <v>2740</v>
      </c>
      <c r="AB47" s="12" t="n">
        <f aca="false">ROUND(P47*110*Q47,-1)</f>
        <v>2510</v>
      </c>
      <c r="AC47" s="12" t="n">
        <f aca="false">ROUND(P47*100*Q47,-1)</f>
        <v>2280</v>
      </c>
      <c r="AD47" s="10" t="s">
        <v>319</v>
      </c>
      <c r="AE47" s="16"/>
      <c r="AF47" s="16"/>
      <c r="AG47" s="16"/>
    </row>
    <row r="48" customFormat="false" ht="15" hidden="false" customHeight="false" outlineLevel="0" collapsed="false">
      <c r="A48" s="12" t="n">
        <v>47</v>
      </c>
      <c r="B48" s="13" t="s">
        <v>266</v>
      </c>
      <c r="C48" s="10" t="s">
        <v>320</v>
      </c>
      <c r="D48" s="14" t="s">
        <v>67</v>
      </c>
      <c r="E48" s="14" t="s">
        <v>67</v>
      </c>
      <c r="F48" s="15" t="n">
        <f aca="false">MAX(IFERROR(INDEX(Stations!$B$2:$B$31,MATCH(D48,Stations!$A$2:$A$31,0)),0),IFERROR(INDEX(Stations!$B$2:$B$31,MATCH(E48,Stations!$A$2:$A$31,0)),0))</f>
        <v>1.9</v>
      </c>
      <c r="G48" s="16" t="n">
        <v>10</v>
      </c>
      <c r="H48" s="16" t="n">
        <v>0</v>
      </c>
      <c r="I48" s="16" t="n">
        <v>9</v>
      </c>
      <c r="J48" s="16" t="n">
        <v>550</v>
      </c>
      <c r="K48" s="14" t="s">
        <v>128</v>
      </c>
      <c r="L48" s="14" t="s">
        <v>147</v>
      </c>
      <c r="M48" s="14" t="s">
        <v>231</v>
      </c>
      <c r="N48" s="16" t="n">
        <v>3</v>
      </c>
      <c r="O48" s="16" t="s">
        <v>221</v>
      </c>
      <c r="P48" s="12" t="n">
        <f aca="false">INDEX(Scale!$B$16:$B$26,MATCH(K48,Scale!$A$16:$A$26,0))</f>
        <v>6.3</v>
      </c>
      <c r="Q48" s="15" t="n">
        <f aca="false">I48/3+J48/350</f>
        <v>4.57142857142857</v>
      </c>
      <c r="R48" s="15" t="n">
        <f aca="false">I48/4.2+J48/500</f>
        <v>3.24285714285714</v>
      </c>
      <c r="S48" s="15" t="n">
        <f aca="false">2*F48+2*G48/60+2*H48/60+Q48+1</f>
        <v>9.7047619047619</v>
      </c>
      <c r="T48" s="15" t="n">
        <f aca="false">I48+J48/100</f>
        <v>14.5</v>
      </c>
      <c r="U48" s="12" t="n">
        <f aca="false">INDEX(Scale!$B$3:$B$12,MATCH(T48,Scale!$A$3:$A$12,1))</f>
        <v>4</v>
      </c>
      <c r="V48" s="12" t="n">
        <f aca="false">INDEX(Scale!$B$30:$B$38,MATCH(L48,Scale!$A$30:$A$38,0))</f>
        <v>0</v>
      </c>
      <c r="W48" s="17" t="n">
        <f aca="false">MAX(U48,V48)</f>
        <v>4</v>
      </c>
      <c r="X48" s="12" t="n">
        <f aca="false">IF(W48&lt;=3,1,IF(W48&lt;=5,2,IF(W48&lt;=7,3,IF(W48&lt;=8,4,5))))</f>
        <v>2</v>
      </c>
      <c r="Y48" s="13" t="str">
        <f aca="false">IF(S48&lt;=13,"1 day",IF(S48&lt;=15,"1 long day","2 days"))</f>
        <v>1 day</v>
      </c>
      <c r="Z48" s="12" t="n">
        <f aca="false">ROUND(P48*130*Q48,-1)</f>
        <v>3740</v>
      </c>
      <c r="AA48" s="12" t="n">
        <f aca="false">ROUND(P48*120*Q48,-1)</f>
        <v>3460</v>
      </c>
      <c r="AB48" s="12" t="n">
        <f aca="false">ROUND(P48*110*Q48,-1)</f>
        <v>3170</v>
      </c>
      <c r="AC48" s="12" t="n">
        <f aca="false">ROUND(P48*100*Q48,-1)</f>
        <v>2880</v>
      </c>
      <c r="AD48" s="10" t="s">
        <v>321</v>
      </c>
      <c r="AE48" s="16"/>
      <c r="AF48" s="16"/>
      <c r="AG48" s="16"/>
    </row>
    <row r="49" customFormat="false" ht="15" hidden="false" customHeight="false" outlineLevel="0" collapsed="false">
      <c r="A49" s="12" t="n">
        <v>48</v>
      </c>
      <c r="B49" s="13" t="s">
        <v>266</v>
      </c>
      <c r="C49" s="10" t="s">
        <v>322</v>
      </c>
      <c r="D49" s="14" t="s">
        <v>67</v>
      </c>
      <c r="E49" s="14" t="s">
        <v>67</v>
      </c>
      <c r="F49" s="15" t="n">
        <f aca="false">MAX(IFERROR(INDEX(Stations!$B$2:$B$31,MATCH(D49,Stations!$A$2:$A$31,0)),0),IFERROR(INDEX(Stations!$B$2:$B$31,MATCH(E49,Stations!$A$2:$A$31,0)),0))</f>
        <v>1.9</v>
      </c>
      <c r="G49" s="16" t="n">
        <v>10</v>
      </c>
      <c r="H49" s="16" t="n">
        <v>0</v>
      </c>
      <c r="I49" s="16" t="n">
        <v>11</v>
      </c>
      <c r="J49" s="16" t="n">
        <v>800</v>
      </c>
      <c r="K49" s="14" t="s">
        <v>128</v>
      </c>
      <c r="L49" s="14" t="s">
        <v>147</v>
      </c>
      <c r="M49" s="14" t="s">
        <v>234</v>
      </c>
      <c r="N49" s="16" t="n">
        <v>3</v>
      </c>
      <c r="O49" s="16" t="s">
        <v>221</v>
      </c>
      <c r="P49" s="12" t="n">
        <f aca="false">INDEX(Scale!$B$16:$B$26,MATCH(K49,Scale!$A$16:$A$26,0))</f>
        <v>6.3</v>
      </c>
      <c r="Q49" s="15" t="n">
        <f aca="false">I49/3+J49/350</f>
        <v>5.95238095238095</v>
      </c>
      <c r="R49" s="15" t="n">
        <f aca="false">I49/4.2+J49/500</f>
        <v>4.21904761904762</v>
      </c>
      <c r="S49" s="15" t="n">
        <f aca="false">2*F49+2*G49/60+2*H49/60+Q49+1</f>
        <v>11.0857142857143</v>
      </c>
      <c r="T49" s="15" t="n">
        <f aca="false">I49+J49/100</f>
        <v>19</v>
      </c>
      <c r="U49" s="12" t="n">
        <f aca="false">INDEX(Scale!$B$3:$B$12,MATCH(T49,Scale!$A$3:$A$12,1))</f>
        <v>5</v>
      </c>
      <c r="V49" s="12" t="n">
        <f aca="false">INDEX(Scale!$B$30:$B$38,MATCH(L49,Scale!$A$30:$A$38,0))</f>
        <v>0</v>
      </c>
      <c r="W49" s="17" t="n">
        <f aca="false">MAX(U49,V49)</f>
        <v>5</v>
      </c>
      <c r="X49" s="12" t="n">
        <f aca="false">IF(W49&lt;=3,1,IF(W49&lt;=5,2,IF(W49&lt;=7,3,IF(W49&lt;=8,4,5))))</f>
        <v>2</v>
      </c>
      <c r="Y49" s="13" t="str">
        <f aca="false">IF(S49&lt;=13,"1 day",IF(S49&lt;=15,"1 long day","2 days"))</f>
        <v>1 day</v>
      </c>
      <c r="Z49" s="12" t="n">
        <f aca="false">ROUND(P49*130*Q49,-1)</f>
        <v>4880</v>
      </c>
      <c r="AA49" s="12" t="n">
        <f aca="false">ROUND(P49*120*Q49,-1)</f>
        <v>4500</v>
      </c>
      <c r="AB49" s="12" t="n">
        <f aca="false">ROUND(P49*110*Q49,-1)</f>
        <v>4130</v>
      </c>
      <c r="AC49" s="12" t="n">
        <f aca="false">ROUND(P49*100*Q49,-1)</f>
        <v>3750</v>
      </c>
      <c r="AD49" s="10" t="s">
        <v>323</v>
      </c>
      <c r="AE49" s="16"/>
      <c r="AF49" s="16"/>
      <c r="AG49" s="16"/>
    </row>
    <row r="50" customFormat="false" ht="15" hidden="false" customHeight="false" outlineLevel="0" collapsed="false">
      <c r="A50" s="12" t="n">
        <v>49</v>
      </c>
      <c r="B50" s="13" t="s">
        <v>266</v>
      </c>
      <c r="C50" s="10" t="s">
        <v>324</v>
      </c>
      <c r="D50" s="14" t="s">
        <v>67</v>
      </c>
      <c r="E50" s="14" t="s">
        <v>67</v>
      </c>
      <c r="F50" s="15" t="n">
        <f aca="false">MAX(IFERROR(INDEX(Stations!$B$2:$B$31,MATCH(D50,Stations!$A$2:$A$31,0)),0),IFERROR(INDEX(Stations!$B$2:$B$31,MATCH(E50,Stations!$A$2:$A$31,0)),0))</f>
        <v>1.9</v>
      </c>
      <c r="G50" s="16" t="n">
        <v>0</v>
      </c>
      <c r="H50" s="16" t="n">
        <v>0</v>
      </c>
      <c r="I50" s="16" t="n">
        <v>13</v>
      </c>
      <c r="J50" s="16" t="n">
        <v>800</v>
      </c>
      <c r="K50" s="14" t="s">
        <v>128</v>
      </c>
      <c r="L50" s="14" t="s">
        <v>147</v>
      </c>
      <c r="M50" s="14" t="s">
        <v>234</v>
      </c>
      <c r="N50" s="16" t="n">
        <v>3</v>
      </c>
      <c r="O50" s="16" t="s">
        <v>221</v>
      </c>
      <c r="P50" s="12" t="n">
        <f aca="false">INDEX(Scale!$B$16:$B$26,MATCH(K50,Scale!$A$16:$A$26,0))</f>
        <v>6.3</v>
      </c>
      <c r="Q50" s="15" t="n">
        <f aca="false">I50/3+J50/350</f>
        <v>6.61904761904762</v>
      </c>
      <c r="R50" s="15" t="n">
        <f aca="false">I50/4.2+J50/500</f>
        <v>4.69523809523809</v>
      </c>
      <c r="S50" s="15" t="n">
        <f aca="false">2*F50+2*G50/60+2*H50/60+Q50+1</f>
        <v>11.4190476190476</v>
      </c>
      <c r="T50" s="15" t="n">
        <f aca="false">I50+J50/100</f>
        <v>21</v>
      </c>
      <c r="U50" s="12" t="n">
        <f aca="false">INDEX(Scale!$B$3:$B$12,MATCH(T50,Scale!$A$3:$A$12,1))</f>
        <v>6</v>
      </c>
      <c r="V50" s="12" t="n">
        <f aca="false">INDEX(Scale!$B$30:$B$38,MATCH(L50,Scale!$A$30:$A$38,0))</f>
        <v>0</v>
      </c>
      <c r="W50" s="17" t="n">
        <f aca="false">MAX(U50,V50)</f>
        <v>6</v>
      </c>
      <c r="X50" s="12" t="n">
        <f aca="false">IF(W50&lt;=3,1,IF(W50&lt;=5,2,IF(W50&lt;=7,3,IF(W50&lt;=8,4,5))))</f>
        <v>3</v>
      </c>
      <c r="Y50" s="13" t="str">
        <f aca="false">IF(S50&lt;=13,"1 day",IF(S50&lt;=15,"1 long day","2 days"))</f>
        <v>1 day</v>
      </c>
      <c r="Z50" s="12" t="n">
        <f aca="false">ROUND(P50*130*Q50,-1)</f>
        <v>5420</v>
      </c>
      <c r="AA50" s="12" t="n">
        <f aca="false">ROUND(P50*120*Q50,-1)</f>
        <v>5000</v>
      </c>
      <c r="AB50" s="12" t="n">
        <f aca="false">ROUND(P50*110*Q50,-1)</f>
        <v>4590</v>
      </c>
      <c r="AC50" s="12" t="n">
        <f aca="false">ROUND(P50*100*Q50,-1)</f>
        <v>4170</v>
      </c>
      <c r="AD50" s="10" t="s">
        <v>325</v>
      </c>
      <c r="AE50" s="16"/>
      <c r="AF50" s="16"/>
      <c r="AG50" s="16"/>
    </row>
    <row r="51" customFormat="false" ht="15" hidden="false" customHeight="false" outlineLevel="0" collapsed="false">
      <c r="A51" s="12" t="n">
        <v>50</v>
      </c>
      <c r="B51" s="13" t="s">
        <v>266</v>
      </c>
      <c r="C51" s="10" t="s">
        <v>326</v>
      </c>
      <c r="D51" s="14" t="s">
        <v>67</v>
      </c>
      <c r="E51" s="14" t="s">
        <v>66</v>
      </c>
      <c r="F51" s="15" t="n">
        <f aca="false">MAX(IFERROR(INDEX(Stations!$B$2:$B$31,MATCH(D51,Stations!$A$2:$A$31,0)),0),IFERROR(INDEX(Stations!$B$2:$B$31,MATCH(E51,Stations!$A$2:$A$31,0)),0))</f>
        <v>1.9</v>
      </c>
      <c r="G51" s="16" t="n">
        <v>0</v>
      </c>
      <c r="H51" s="16" t="n">
        <v>0</v>
      </c>
      <c r="I51" s="16" t="n">
        <v>15</v>
      </c>
      <c r="J51" s="16" t="n">
        <v>800</v>
      </c>
      <c r="K51" s="14" t="s">
        <v>128</v>
      </c>
      <c r="L51" s="14" t="s">
        <v>147</v>
      </c>
      <c r="M51" s="14" t="s">
        <v>234</v>
      </c>
      <c r="N51" s="16" t="n">
        <v>3</v>
      </c>
      <c r="O51" s="16" t="s">
        <v>221</v>
      </c>
      <c r="P51" s="12" t="n">
        <f aca="false">INDEX(Scale!$B$16:$B$26,MATCH(K51,Scale!$A$16:$A$26,0))</f>
        <v>6.3</v>
      </c>
      <c r="Q51" s="15" t="n">
        <f aca="false">I51/3+J51/350</f>
        <v>7.28571428571429</v>
      </c>
      <c r="R51" s="15" t="n">
        <f aca="false">I51/4.2+J51/500</f>
        <v>5.17142857142857</v>
      </c>
      <c r="S51" s="15" t="n">
        <f aca="false">2*F51+2*G51/60+2*H51/60+Q51+1</f>
        <v>12.0857142857143</v>
      </c>
      <c r="T51" s="15" t="n">
        <f aca="false">I51+J51/100</f>
        <v>23</v>
      </c>
      <c r="U51" s="12" t="n">
        <f aca="false">INDEX(Scale!$B$3:$B$12,MATCH(T51,Scale!$A$3:$A$12,1))</f>
        <v>6</v>
      </c>
      <c r="V51" s="12" t="n">
        <f aca="false">INDEX(Scale!$B$30:$B$38,MATCH(L51,Scale!$A$30:$A$38,0))</f>
        <v>0</v>
      </c>
      <c r="W51" s="17" t="n">
        <f aca="false">MAX(U51,V51)</f>
        <v>6</v>
      </c>
      <c r="X51" s="12" t="n">
        <f aca="false">IF(W51&lt;=3,1,IF(W51&lt;=5,2,IF(W51&lt;=7,3,IF(W51&lt;=8,4,5))))</f>
        <v>3</v>
      </c>
      <c r="Y51" s="13" t="str">
        <f aca="false">IF(S51&lt;=13,"1 day",IF(S51&lt;=15,"1 long day","2 days"))</f>
        <v>1 day</v>
      </c>
      <c r="Z51" s="12" t="n">
        <f aca="false">ROUND(P51*130*Q51,-1)</f>
        <v>5970</v>
      </c>
      <c r="AA51" s="12" t="n">
        <f aca="false">ROUND(P51*120*Q51,-1)</f>
        <v>5510</v>
      </c>
      <c r="AB51" s="12" t="n">
        <f aca="false">ROUND(P51*110*Q51,-1)</f>
        <v>5050</v>
      </c>
      <c r="AC51" s="12" t="n">
        <f aca="false">ROUND(P51*100*Q51,-1)</f>
        <v>4590</v>
      </c>
      <c r="AD51" s="10" t="s">
        <v>327</v>
      </c>
      <c r="AE51" s="16"/>
      <c r="AF51" s="16"/>
      <c r="AG51" s="16"/>
    </row>
    <row r="52" customFormat="false" ht="15" hidden="false" customHeight="false" outlineLevel="0" collapsed="false">
      <c r="A52" s="12" t="n">
        <v>51</v>
      </c>
      <c r="B52" s="13" t="s">
        <v>266</v>
      </c>
      <c r="C52" s="10" t="s">
        <v>328</v>
      </c>
      <c r="D52" s="14" t="s">
        <v>67</v>
      </c>
      <c r="E52" s="14" t="s">
        <v>67</v>
      </c>
      <c r="F52" s="15" t="n">
        <f aca="false">MAX(IFERROR(INDEX(Stations!$B$2:$B$31,MATCH(D52,Stations!$A$2:$A$31,0)),0),IFERROR(INDEX(Stations!$B$2:$B$31,MATCH(E52,Stations!$A$2:$A$31,0)),0))</f>
        <v>1.9</v>
      </c>
      <c r="G52" s="16" t="n">
        <v>10</v>
      </c>
      <c r="H52" s="16" t="n">
        <v>0</v>
      </c>
      <c r="I52" s="16" t="n">
        <v>14</v>
      </c>
      <c r="J52" s="16" t="n">
        <v>950</v>
      </c>
      <c r="K52" s="14" t="s">
        <v>128</v>
      </c>
      <c r="L52" s="14" t="s">
        <v>147</v>
      </c>
      <c r="M52" s="14" t="s">
        <v>239</v>
      </c>
      <c r="N52" s="16" t="n">
        <v>4</v>
      </c>
      <c r="O52" s="16" t="s">
        <v>226</v>
      </c>
      <c r="P52" s="12" t="n">
        <f aca="false">INDEX(Scale!$B$16:$B$26,MATCH(K52,Scale!$A$16:$A$26,0))</f>
        <v>6.3</v>
      </c>
      <c r="Q52" s="15" t="n">
        <f aca="false">I52/3+J52/350</f>
        <v>7.38095238095238</v>
      </c>
      <c r="R52" s="15" t="n">
        <f aca="false">I52/4.2+J52/500</f>
        <v>5.23333333333333</v>
      </c>
      <c r="S52" s="15" t="n">
        <f aca="false">2*F52+2*G52/60+2*H52/60+Q52+1</f>
        <v>12.5142857142857</v>
      </c>
      <c r="T52" s="15" t="n">
        <f aca="false">I52+J52/100</f>
        <v>23.5</v>
      </c>
      <c r="U52" s="12" t="n">
        <f aca="false">INDEX(Scale!$B$3:$B$12,MATCH(T52,Scale!$A$3:$A$12,1))</f>
        <v>6</v>
      </c>
      <c r="V52" s="12" t="n">
        <f aca="false">INDEX(Scale!$B$30:$B$38,MATCH(L52,Scale!$A$30:$A$38,0))</f>
        <v>0</v>
      </c>
      <c r="W52" s="17" t="n">
        <f aca="false">MAX(U52,V52)</f>
        <v>6</v>
      </c>
      <c r="X52" s="12" t="n">
        <f aca="false">IF(W52&lt;=3,1,IF(W52&lt;=5,2,IF(W52&lt;=7,3,IF(W52&lt;=8,4,5))))</f>
        <v>3</v>
      </c>
      <c r="Y52" s="13" t="str">
        <f aca="false">IF(S52&lt;=13,"1 day",IF(S52&lt;=15,"1 long day","2 days"))</f>
        <v>1 day</v>
      </c>
      <c r="Z52" s="12" t="n">
        <f aca="false">ROUND(P52*130*Q52,-1)</f>
        <v>6050</v>
      </c>
      <c r="AA52" s="12" t="n">
        <f aca="false">ROUND(P52*120*Q52,-1)</f>
        <v>5580</v>
      </c>
      <c r="AB52" s="12" t="n">
        <f aca="false">ROUND(P52*110*Q52,-1)</f>
        <v>5120</v>
      </c>
      <c r="AC52" s="12" t="n">
        <f aca="false">ROUND(P52*100*Q52,-1)</f>
        <v>4650</v>
      </c>
      <c r="AD52" s="10" t="s">
        <v>329</v>
      </c>
      <c r="AE52" s="16"/>
      <c r="AF52" s="16"/>
      <c r="AG52" s="16"/>
    </row>
    <row r="53" customFormat="false" ht="15" hidden="false" customHeight="false" outlineLevel="0" collapsed="false">
      <c r="A53" s="12" t="n">
        <v>52</v>
      </c>
      <c r="B53" s="13" t="s">
        <v>266</v>
      </c>
      <c r="C53" s="10" t="s">
        <v>330</v>
      </c>
      <c r="D53" s="14" t="s">
        <v>67</v>
      </c>
      <c r="E53" s="14" t="s">
        <v>67</v>
      </c>
      <c r="F53" s="15" t="n">
        <f aca="false">MAX(IFERROR(INDEX(Stations!$B$2:$B$31,MATCH(D53,Stations!$A$2:$A$31,0)),0),IFERROR(INDEX(Stations!$B$2:$B$31,MATCH(E53,Stations!$A$2:$A$31,0)),0))</f>
        <v>1.9</v>
      </c>
      <c r="G53" s="16" t="n">
        <v>10</v>
      </c>
      <c r="H53" s="16" t="n">
        <v>0</v>
      </c>
      <c r="I53" s="16" t="n">
        <v>16</v>
      </c>
      <c r="J53" s="16" t="n">
        <v>1050</v>
      </c>
      <c r="K53" s="14" t="s">
        <v>128</v>
      </c>
      <c r="L53" s="14" t="s">
        <v>147</v>
      </c>
      <c r="M53" s="14" t="s">
        <v>239</v>
      </c>
      <c r="N53" s="16" t="n">
        <v>4</v>
      </c>
      <c r="O53" s="16" t="s">
        <v>226</v>
      </c>
      <c r="P53" s="12" t="n">
        <f aca="false">INDEX(Scale!$B$16:$B$26,MATCH(K53,Scale!$A$16:$A$26,0))</f>
        <v>6.3</v>
      </c>
      <c r="Q53" s="15" t="n">
        <f aca="false">I53/3+J53/350</f>
        <v>8.33333333333333</v>
      </c>
      <c r="R53" s="15" t="n">
        <f aca="false">I53/4.2+J53/500</f>
        <v>5.90952380952381</v>
      </c>
      <c r="S53" s="15" t="n">
        <f aca="false">2*F53+2*G53/60+2*H53/60+Q53+1</f>
        <v>13.4666666666667</v>
      </c>
      <c r="T53" s="15" t="n">
        <f aca="false">I53+J53/100</f>
        <v>26.5</v>
      </c>
      <c r="U53" s="12" t="n">
        <f aca="false">INDEX(Scale!$B$3:$B$12,MATCH(T53,Scale!$A$3:$A$12,1))</f>
        <v>6</v>
      </c>
      <c r="V53" s="12" t="n">
        <f aca="false">INDEX(Scale!$B$30:$B$38,MATCH(L53,Scale!$A$30:$A$38,0))</f>
        <v>0</v>
      </c>
      <c r="W53" s="17" t="n">
        <f aca="false">MAX(U53,V53)</f>
        <v>6</v>
      </c>
      <c r="X53" s="12" t="n">
        <f aca="false">IF(W53&lt;=3,1,IF(W53&lt;=5,2,IF(W53&lt;=7,3,IF(W53&lt;=8,4,5))))</f>
        <v>3</v>
      </c>
      <c r="Y53" s="13" t="str">
        <f aca="false">IF(S53&lt;=13,"1 day",IF(S53&lt;=15,"1 long day","2 days"))</f>
        <v>1 long day</v>
      </c>
      <c r="Z53" s="12" t="n">
        <f aca="false">ROUND(P53*130*Q53,-1)</f>
        <v>6830</v>
      </c>
      <c r="AA53" s="12" t="n">
        <f aca="false">ROUND(P53*120*Q53,-1)</f>
        <v>6300</v>
      </c>
      <c r="AB53" s="12" t="n">
        <f aca="false">ROUND(P53*110*Q53,-1)</f>
        <v>5780</v>
      </c>
      <c r="AC53" s="12" t="n">
        <f aca="false">ROUND(P53*100*Q53,-1)</f>
        <v>5250</v>
      </c>
      <c r="AD53" s="10" t="s">
        <v>331</v>
      </c>
      <c r="AE53" s="16"/>
      <c r="AF53" s="16"/>
      <c r="AG53" s="16"/>
    </row>
    <row r="54" customFormat="false" ht="15" hidden="false" customHeight="false" outlineLevel="0" collapsed="false">
      <c r="A54" s="12" t="n">
        <v>53</v>
      </c>
      <c r="B54" s="13" t="s">
        <v>266</v>
      </c>
      <c r="C54" s="10" t="s">
        <v>332</v>
      </c>
      <c r="D54" s="14" t="s">
        <v>67</v>
      </c>
      <c r="E54" s="14" t="s">
        <v>67</v>
      </c>
      <c r="F54" s="15" t="n">
        <f aca="false">MAX(IFERROR(INDEX(Stations!$B$2:$B$31,MATCH(D54,Stations!$A$2:$A$31,0)),0),IFERROR(INDEX(Stations!$B$2:$B$31,MATCH(E54,Stations!$A$2:$A$31,0)),0))</f>
        <v>1.9</v>
      </c>
      <c r="G54" s="16" t="n">
        <v>10</v>
      </c>
      <c r="H54" s="16" t="n">
        <v>0</v>
      </c>
      <c r="I54" s="16" t="n">
        <v>13</v>
      </c>
      <c r="J54" s="16" t="n">
        <v>850</v>
      </c>
      <c r="K54" s="14" t="s">
        <v>128</v>
      </c>
      <c r="L54" s="14" t="s">
        <v>147</v>
      </c>
      <c r="M54" s="14" t="s">
        <v>239</v>
      </c>
      <c r="N54" s="16" t="n">
        <v>5</v>
      </c>
      <c r="O54" s="16" t="s">
        <v>252</v>
      </c>
      <c r="P54" s="12" t="n">
        <f aca="false">INDEX(Scale!$B$16:$B$26,MATCH(K54,Scale!$A$16:$A$26,0))</f>
        <v>6.3</v>
      </c>
      <c r="Q54" s="15" t="n">
        <f aca="false">I54/3+J54/350</f>
        <v>6.76190476190476</v>
      </c>
      <c r="R54" s="15" t="n">
        <f aca="false">I54/4.2+J54/500</f>
        <v>4.7952380952381</v>
      </c>
      <c r="S54" s="15" t="n">
        <f aca="false">2*F54+2*G54/60+2*H54/60+Q54+1</f>
        <v>11.8952380952381</v>
      </c>
      <c r="T54" s="15" t="n">
        <f aca="false">I54+J54/100</f>
        <v>21.5</v>
      </c>
      <c r="U54" s="12" t="n">
        <f aca="false">INDEX(Scale!$B$3:$B$12,MATCH(T54,Scale!$A$3:$A$12,1))</f>
        <v>6</v>
      </c>
      <c r="V54" s="12" t="n">
        <f aca="false">INDEX(Scale!$B$30:$B$38,MATCH(L54,Scale!$A$30:$A$38,0))</f>
        <v>0</v>
      </c>
      <c r="W54" s="17" t="n">
        <f aca="false">MAX(U54,V54)</f>
        <v>6</v>
      </c>
      <c r="X54" s="12" t="n">
        <f aca="false">IF(W54&lt;=3,1,IF(W54&lt;=5,2,IF(W54&lt;=7,3,IF(W54&lt;=8,4,5))))</f>
        <v>3</v>
      </c>
      <c r="Y54" s="13" t="str">
        <f aca="false">IF(S54&lt;=13,"1 day",IF(S54&lt;=15,"1 long day","2 days"))</f>
        <v>1 day</v>
      </c>
      <c r="Z54" s="12" t="n">
        <f aca="false">ROUND(P54*130*Q54,-1)</f>
        <v>5540</v>
      </c>
      <c r="AA54" s="12" t="n">
        <f aca="false">ROUND(P54*120*Q54,-1)</f>
        <v>5110</v>
      </c>
      <c r="AB54" s="12" t="n">
        <f aca="false">ROUND(P54*110*Q54,-1)</f>
        <v>4690</v>
      </c>
      <c r="AC54" s="12" t="n">
        <f aca="false">ROUND(P54*100*Q54,-1)</f>
        <v>4260</v>
      </c>
      <c r="AD54" s="10" t="s">
        <v>333</v>
      </c>
      <c r="AE54" s="16"/>
      <c r="AF54" s="16"/>
      <c r="AG54" s="16"/>
    </row>
    <row r="55" customFormat="false" ht="15" hidden="false" customHeight="false" outlineLevel="0" collapsed="false">
      <c r="A55" s="12" t="n">
        <v>54</v>
      </c>
      <c r="B55" s="13" t="s">
        <v>266</v>
      </c>
      <c r="C55" s="10" t="s">
        <v>334</v>
      </c>
      <c r="D55" s="14" t="s">
        <v>67</v>
      </c>
      <c r="E55" s="14" t="s">
        <v>67</v>
      </c>
      <c r="F55" s="15" t="n">
        <f aca="false">MAX(IFERROR(INDEX(Stations!$B$2:$B$31,MATCH(D55,Stations!$A$2:$A$31,0)),0),IFERROR(INDEX(Stations!$B$2:$B$31,MATCH(E55,Stations!$A$2:$A$31,0)),0))</f>
        <v>1.9</v>
      </c>
      <c r="G55" s="16" t="n">
        <v>10</v>
      </c>
      <c r="H55" s="16" t="n">
        <v>0</v>
      </c>
      <c r="I55" s="16" t="n">
        <v>12</v>
      </c>
      <c r="J55" s="16" t="n">
        <v>700</v>
      </c>
      <c r="K55" s="14" t="s">
        <v>128</v>
      </c>
      <c r="L55" s="14" t="s">
        <v>147</v>
      </c>
      <c r="M55" s="14" t="s">
        <v>234</v>
      </c>
      <c r="N55" s="16" t="n">
        <v>4</v>
      </c>
      <c r="O55" s="16" t="s">
        <v>226</v>
      </c>
      <c r="P55" s="12" t="n">
        <f aca="false">INDEX(Scale!$B$16:$B$26,MATCH(K55,Scale!$A$16:$A$26,0))</f>
        <v>6.3</v>
      </c>
      <c r="Q55" s="15" t="n">
        <f aca="false">I55/3+J55/350</f>
        <v>6</v>
      </c>
      <c r="R55" s="15" t="n">
        <f aca="false">I55/4.2+J55/500</f>
        <v>4.25714285714286</v>
      </c>
      <c r="S55" s="15" t="n">
        <f aca="false">2*F55+2*G55/60+2*H55/60+Q55+1</f>
        <v>11.1333333333333</v>
      </c>
      <c r="T55" s="15" t="n">
        <f aca="false">I55+J55/100</f>
        <v>19</v>
      </c>
      <c r="U55" s="12" t="n">
        <f aca="false">INDEX(Scale!$B$3:$B$12,MATCH(T55,Scale!$A$3:$A$12,1))</f>
        <v>5</v>
      </c>
      <c r="V55" s="12" t="n">
        <f aca="false">INDEX(Scale!$B$30:$B$38,MATCH(L55,Scale!$A$30:$A$38,0))</f>
        <v>0</v>
      </c>
      <c r="W55" s="17" t="n">
        <f aca="false">MAX(U55,V55)</f>
        <v>5</v>
      </c>
      <c r="X55" s="12" t="n">
        <f aca="false">IF(W55&lt;=3,1,IF(W55&lt;=5,2,IF(W55&lt;=7,3,IF(W55&lt;=8,4,5))))</f>
        <v>2</v>
      </c>
      <c r="Y55" s="13" t="str">
        <f aca="false">IF(S55&lt;=13,"1 day",IF(S55&lt;=15,"1 long day","2 days"))</f>
        <v>1 day</v>
      </c>
      <c r="Z55" s="12" t="n">
        <f aca="false">ROUND(P55*130*Q55,-1)</f>
        <v>4910</v>
      </c>
      <c r="AA55" s="12" t="n">
        <f aca="false">ROUND(P55*120*Q55,-1)</f>
        <v>4540</v>
      </c>
      <c r="AB55" s="12" t="n">
        <f aca="false">ROUND(P55*110*Q55,-1)</f>
        <v>4160</v>
      </c>
      <c r="AC55" s="12" t="n">
        <f aca="false">ROUND(P55*100*Q55,-1)</f>
        <v>3780</v>
      </c>
      <c r="AD55" s="10" t="s">
        <v>335</v>
      </c>
      <c r="AE55" s="16"/>
      <c r="AF55" s="16"/>
      <c r="AG55" s="16"/>
    </row>
    <row r="56" customFormat="false" ht="15" hidden="false" customHeight="false" outlineLevel="0" collapsed="false">
      <c r="A56" s="12" t="n">
        <v>55</v>
      </c>
      <c r="B56" s="13" t="s">
        <v>266</v>
      </c>
      <c r="C56" s="10" t="s">
        <v>336</v>
      </c>
      <c r="D56" s="14" t="s">
        <v>67</v>
      </c>
      <c r="E56" s="14" t="s">
        <v>68</v>
      </c>
      <c r="F56" s="15" t="n">
        <f aca="false">MAX(IFERROR(INDEX(Stations!$B$2:$B$31,MATCH(D56,Stations!$A$2:$A$31,0)),0),IFERROR(INDEX(Stations!$B$2:$B$31,MATCH(E56,Stations!$A$2:$A$31,0)),0))</f>
        <v>2</v>
      </c>
      <c r="G56" s="16" t="n">
        <v>10</v>
      </c>
      <c r="H56" s="16" t="n">
        <v>0</v>
      </c>
      <c r="I56" s="16" t="n">
        <v>10</v>
      </c>
      <c r="J56" s="16" t="n">
        <v>600</v>
      </c>
      <c r="K56" s="14" t="s">
        <v>128</v>
      </c>
      <c r="L56" s="14" t="s">
        <v>147</v>
      </c>
      <c r="M56" s="14" t="s">
        <v>231</v>
      </c>
      <c r="N56" s="16" t="n">
        <v>3</v>
      </c>
      <c r="O56" s="16" t="s">
        <v>221</v>
      </c>
      <c r="P56" s="12" t="n">
        <f aca="false">INDEX(Scale!$B$16:$B$26,MATCH(K56,Scale!$A$16:$A$26,0))</f>
        <v>6.3</v>
      </c>
      <c r="Q56" s="15" t="n">
        <f aca="false">I56/3+J56/350</f>
        <v>5.04761904761905</v>
      </c>
      <c r="R56" s="15" t="n">
        <f aca="false">I56/4.2+J56/500</f>
        <v>3.58095238095238</v>
      </c>
      <c r="S56" s="15" t="n">
        <f aca="false">2*F56+2*G56/60+2*H56/60+Q56+1</f>
        <v>10.3809523809524</v>
      </c>
      <c r="T56" s="15" t="n">
        <f aca="false">I56+J56/100</f>
        <v>16</v>
      </c>
      <c r="U56" s="12" t="n">
        <f aca="false">INDEX(Scale!$B$3:$B$12,MATCH(T56,Scale!$A$3:$A$12,1))</f>
        <v>5</v>
      </c>
      <c r="V56" s="12" t="n">
        <f aca="false">INDEX(Scale!$B$30:$B$38,MATCH(L56,Scale!$A$30:$A$38,0))</f>
        <v>0</v>
      </c>
      <c r="W56" s="17" t="n">
        <f aca="false">MAX(U56,V56)</f>
        <v>5</v>
      </c>
      <c r="X56" s="12" t="n">
        <f aca="false">IF(W56&lt;=3,1,IF(W56&lt;=5,2,IF(W56&lt;=7,3,IF(W56&lt;=8,4,5))))</f>
        <v>2</v>
      </c>
      <c r="Y56" s="13" t="str">
        <f aca="false">IF(S56&lt;=13,"1 day",IF(S56&lt;=15,"1 long day","2 days"))</f>
        <v>1 day</v>
      </c>
      <c r="Z56" s="12" t="n">
        <f aca="false">ROUND(P56*130*Q56,-1)</f>
        <v>4130</v>
      </c>
      <c r="AA56" s="12" t="n">
        <f aca="false">ROUND(P56*120*Q56,-1)</f>
        <v>3820</v>
      </c>
      <c r="AB56" s="12" t="n">
        <f aca="false">ROUND(P56*110*Q56,-1)</f>
        <v>3500</v>
      </c>
      <c r="AC56" s="12" t="n">
        <f aca="false">ROUND(P56*100*Q56,-1)</f>
        <v>3180</v>
      </c>
      <c r="AD56" s="10" t="s">
        <v>337</v>
      </c>
      <c r="AE56" s="16"/>
      <c r="AF56" s="16"/>
      <c r="AG56" s="16"/>
    </row>
    <row r="57" customFormat="false" ht="15" hidden="false" customHeight="false" outlineLevel="0" collapsed="false">
      <c r="A57" s="12" t="n">
        <v>56</v>
      </c>
      <c r="B57" s="13" t="s">
        <v>266</v>
      </c>
      <c r="C57" s="10" t="s">
        <v>338</v>
      </c>
      <c r="D57" s="14" t="s">
        <v>67</v>
      </c>
      <c r="E57" s="14" t="s">
        <v>65</v>
      </c>
      <c r="F57" s="15" t="n">
        <f aca="false">MAX(IFERROR(INDEX(Stations!$B$2:$B$31,MATCH(D57,Stations!$A$2:$A$31,0)),0),IFERROR(INDEX(Stations!$B$2:$B$31,MATCH(E57,Stations!$A$2:$A$31,0)),0))</f>
        <v>1.9</v>
      </c>
      <c r="G57" s="16" t="n">
        <v>10</v>
      </c>
      <c r="H57" s="16" t="n">
        <v>0</v>
      </c>
      <c r="I57" s="16" t="n">
        <v>23</v>
      </c>
      <c r="J57" s="16" t="n">
        <v>1100</v>
      </c>
      <c r="K57" s="14" t="s">
        <v>128</v>
      </c>
      <c r="L57" s="14" t="s">
        <v>147</v>
      </c>
      <c r="M57" s="14" t="s">
        <v>239</v>
      </c>
      <c r="N57" s="16" t="n">
        <v>4</v>
      </c>
      <c r="O57" s="16" t="s">
        <v>221</v>
      </c>
      <c r="P57" s="12" t="n">
        <f aca="false">INDEX(Scale!$B$16:$B$26,MATCH(K57,Scale!$A$16:$A$26,0))</f>
        <v>6.3</v>
      </c>
      <c r="Q57" s="15" t="n">
        <f aca="false">I57/3+J57/350</f>
        <v>10.8095238095238</v>
      </c>
      <c r="R57" s="15" t="n">
        <f aca="false">I57/4.2+J57/500</f>
        <v>7.67619047619048</v>
      </c>
      <c r="S57" s="15" t="n">
        <f aca="false">2*F57+2*G57/60+2*H57/60+Q57+1</f>
        <v>15.9428571428571</v>
      </c>
      <c r="T57" s="15" t="n">
        <f aca="false">I57+J57/100</f>
        <v>34</v>
      </c>
      <c r="U57" s="12" t="n">
        <f aca="false">INDEX(Scale!$B$3:$B$12,MATCH(T57,Scale!$A$3:$A$12,1))</f>
        <v>8</v>
      </c>
      <c r="V57" s="12" t="n">
        <f aca="false">INDEX(Scale!$B$30:$B$38,MATCH(L57,Scale!$A$30:$A$38,0))</f>
        <v>0</v>
      </c>
      <c r="W57" s="17" t="n">
        <f aca="false">MAX(U57,V57)</f>
        <v>8</v>
      </c>
      <c r="X57" s="12" t="n">
        <f aca="false">IF(W57&lt;=3,1,IF(W57&lt;=5,2,IF(W57&lt;=7,3,IF(W57&lt;=8,4,5))))</f>
        <v>4</v>
      </c>
      <c r="Y57" s="13" t="str">
        <f aca="false">IF(S57&lt;=13,"1 day",IF(S57&lt;=15,"1 long day","2 days"))</f>
        <v>2 days</v>
      </c>
      <c r="Z57" s="12" t="n">
        <f aca="false">ROUND(P57*130*Q57,-1)</f>
        <v>8850</v>
      </c>
      <c r="AA57" s="12" t="n">
        <f aca="false">ROUND(P57*120*Q57,-1)</f>
        <v>8170</v>
      </c>
      <c r="AB57" s="12" t="n">
        <f aca="false">ROUND(P57*110*Q57,-1)</f>
        <v>7490</v>
      </c>
      <c r="AC57" s="12" t="n">
        <f aca="false">ROUND(P57*100*Q57,-1)</f>
        <v>6810</v>
      </c>
      <c r="AD57" s="10" t="s">
        <v>339</v>
      </c>
      <c r="AE57" s="16"/>
      <c r="AF57" s="16"/>
      <c r="AG57" s="16"/>
    </row>
    <row r="58" customFormat="false" ht="15" hidden="false" customHeight="false" outlineLevel="0" collapsed="false">
      <c r="A58" s="12" t="n">
        <v>57</v>
      </c>
      <c r="B58" s="13" t="s">
        <v>266</v>
      </c>
      <c r="C58" s="10" t="s">
        <v>340</v>
      </c>
      <c r="D58" s="14" t="s">
        <v>67</v>
      </c>
      <c r="E58" s="14" t="s">
        <v>67</v>
      </c>
      <c r="F58" s="15" t="n">
        <f aca="false">MAX(IFERROR(INDEX(Stations!$B$2:$B$31,MATCH(D58,Stations!$A$2:$A$31,0)),0),IFERROR(INDEX(Stations!$B$2:$B$31,MATCH(E58,Stations!$A$2:$A$31,0)),0))</f>
        <v>1.9</v>
      </c>
      <c r="G58" s="16" t="n">
        <v>10</v>
      </c>
      <c r="H58" s="16" t="n">
        <v>0</v>
      </c>
      <c r="I58" s="16" t="n">
        <v>12</v>
      </c>
      <c r="J58" s="16" t="n">
        <v>800</v>
      </c>
      <c r="K58" s="14" t="s">
        <v>128</v>
      </c>
      <c r="L58" s="14" t="s">
        <v>147</v>
      </c>
      <c r="M58" s="14" t="s">
        <v>234</v>
      </c>
      <c r="N58" s="16" t="n">
        <v>5</v>
      </c>
      <c r="O58" s="16" t="s">
        <v>252</v>
      </c>
      <c r="P58" s="12" t="n">
        <f aca="false">INDEX(Scale!$B$16:$B$26,MATCH(K58,Scale!$A$16:$A$26,0))</f>
        <v>6.3</v>
      </c>
      <c r="Q58" s="15" t="n">
        <f aca="false">I58/3+J58/350</f>
        <v>6.28571428571429</v>
      </c>
      <c r="R58" s="15" t="n">
        <f aca="false">I58/4.2+J58/500</f>
        <v>4.45714285714286</v>
      </c>
      <c r="S58" s="15" t="n">
        <f aca="false">2*F58+2*G58/60+2*H58/60+Q58+1</f>
        <v>11.4190476190476</v>
      </c>
      <c r="T58" s="15" t="n">
        <f aca="false">I58+J58/100</f>
        <v>20</v>
      </c>
      <c r="U58" s="12" t="n">
        <f aca="false">INDEX(Scale!$B$3:$B$12,MATCH(T58,Scale!$A$3:$A$12,1))</f>
        <v>5</v>
      </c>
      <c r="V58" s="12" t="n">
        <f aca="false">INDEX(Scale!$B$30:$B$38,MATCH(L58,Scale!$A$30:$A$38,0))</f>
        <v>0</v>
      </c>
      <c r="W58" s="17" t="n">
        <f aca="false">MAX(U58,V58)</f>
        <v>5</v>
      </c>
      <c r="X58" s="12" t="n">
        <f aca="false">IF(W58&lt;=3,1,IF(W58&lt;=5,2,IF(W58&lt;=7,3,IF(W58&lt;=8,4,5))))</f>
        <v>2</v>
      </c>
      <c r="Y58" s="13" t="str">
        <f aca="false">IF(S58&lt;=13,"1 day",IF(S58&lt;=15,"1 long day","2 days"))</f>
        <v>1 day</v>
      </c>
      <c r="Z58" s="12" t="n">
        <f aca="false">ROUND(P58*130*Q58,-1)</f>
        <v>5150</v>
      </c>
      <c r="AA58" s="12" t="n">
        <f aca="false">ROUND(P58*120*Q58,-1)</f>
        <v>4750</v>
      </c>
      <c r="AB58" s="12" t="n">
        <f aca="false">ROUND(P58*110*Q58,-1)</f>
        <v>4360</v>
      </c>
      <c r="AC58" s="12" t="n">
        <f aca="false">ROUND(P58*100*Q58,-1)</f>
        <v>3960</v>
      </c>
      <c r="AD58" s="10" t="s">
        <v>341</v>
      </c>
      <c r="AE58" s="16"/>
      <c r="AF58" s="16"/>
      <c r="AG58" s="16"/>
    </row>
    <row r="59" customFormat="false" ht="15" hidden="false" customHeight="false" outlineLevel="0" collapsed="false">
      <c r="A59" s="12" t="n">
        <v>58</v>
      </c>
      <c r="B59" s="13" t="s">
        <v>266</v>
      </c>
      <c r="C59" s="10" t="s">
        <v>342</v>
      </c>
      <c r="D59" s="14" t="s">
        <v>67</v>
      </c>
      <c r="E59" s="14" t="s">
        <v>67</v>
      </c>
      <c r="F59" s="15" t="n">
        <f aca="false">MAX(IFERROR(INDEX(Stations!$B$2:$B$31,MATCH(D59,Stations!$A$2:$A$31,0)),0),IFERROR(INDEX(Stations!$B$2:$B$31,MATCH(E59,Stations!$A$2:$A$31,0)),0))</f>
        <v>1.9</v>
      </c>
      <c r="G59" s="16" t="n">
        <v>10</v>
      </c>
      <c r="H59" s="16" t="n">
        <v>0</v>
      </c>
      <c r="I59" s="16" t="n">
        <v>18</v>
      </c>
      <c r="J59" s="16" t="n">
        <v>1150</v>
      </c>
      <c r="K59" s="14" t="s">
        <v>128</v>
      </c>
      <c r="L59" s="14" t="s">
        <v>147</v>
      </c>
      <c r="M59" s="14" t="s">
        <v>239</v>
      </c>
      <c r="N59" s="16" t="n">
        <v>4</v>
      </c>
      <c r="O59" s="16" t="s">
        <v>226</v>
      </c>
      <c r="P59" s="12" t="n">
        <f aca="false">INDEX(Scale!$B$16:$B$26,MATCH(K59,Scale!$A$16:$A$26,0))</f>
        <v>6.3</v>
      </c>
      <c r="Q59" s="15" t="n">
        <f aca="false">I59/3+J59/350</f>
        <v>9.28571428571429</v>
      </c>
      <c r="R59" s="15" t="n">
        <f aca="false">I59/4.2+J59/500</f>
        <v>6.58571428571429</v>
      </c>
      <c r="S59" s="15" t="n">
        <f aca="false">2*F59+2*G59/60+2*H59/60+Q59+1</f>
        <v>14.4190476190476</v>
      </c>
      <c r="T59" s="15" t="n">
        <f aca="false">I59+J59/100</f>
        <v>29.5</v>
      </c>
      <c r="U59" s="12" t="n">
        <f aca="false">INDEX(Scale!$B$3:$B$12,MATCH(T59,Scale!$A$3:$A$12,1))</f>
        <v>7</v>
      </c>
      <c r="V59" s="12" t="n">
        <f aca="false">INDEX(Scale!$B$30:$B$38,MATCH(L59,Scale!$A$30:$A$38,0))</f>
        <v>0</v>
      </c>
      <c r="W59" s="17" t="n">
        <f aca="false">MAX(U59,V59)</f>
        <v>7</v>
      </c>
      <c r="X59" s="12" t="n">
        <f aca="false">IF(W59&lt;=3,1,IF(W59&lt;=5,2,IF(W59&lt;=7,3,IF(W59&lt;=8,4,5))))</f>
        <v>3</v>
      </c>
      <c r="Y59" s="13" t="str">
        <f aca="false">IF(S59&lt;=13,"1 day",IF(S59&lt;=15,"1 long day","2 days"))</f>
        <v>1 long day</v>
      </c>
      <c r="Z59" s="12" t="n">
        <f aca="false">ROUND(P59*130*Q59,-1)</f>
        <v>7610</v>
      </c>
      <c r="AA59" s="12" t="n">
        <f aca="false">ROUND(P59*120*Q59,-1)</f>
        <v>7020</v>
      </c>
      <c r="AB59" s="12" t="n">
        <f aca="false">ROUND(P59*110*Q59,-1)</f>
        <v>6440</v>
      </c>
      <c r="AC59" s="12" t="n">
        <f aca="false">ROUND(P59*100*Q59,-1)</f>
        <v>5850</v>
      </c>
      <c r="AD59" s="10" t="s">
        <v>343</v>
      </c>
      <c r="AE59" s="16"/>
      <c r="AF59" s="16"/>
      <c r="AG59" s="16"/>
    </row>
    <row r="60" customFormat="false" ht="15" hidden="false" customHeight="false" outlineLevel="0" collapsed="false">
      <c r="A60" s="12" t="n">
        <v>59</v>
      </c>
      <c r="B60" s="13" t="s">
        <v>266</v>
      </c>
      <c r="C60" s="10" t="s">
        <v>344</v>
      </c>
      <c r="D60" s="14" t="s">
        <v>67</v>
      </c>
      <c r="E60" s="14" t="s">
        <v>67</v>
      </c>
      <c r="F60" s="15" t="n">
        <f aca="false">MAX(IFERROR(INDEX(Stations!$B$2:$B$31,MATCH(D60,Stations!$A$2:$A$31,0)),0),IFERROR(INDEX(Stations!$B$2:$B$31,MATCH(E60,Stations!$A$2:$A$31,0)),0))</f>
        <v>1.9</v>
      </c>
      <c r="G60" s="16" t="n">
        <v>10</v>
      </c>
      <c r="H60" s="16" t="n">
        <v>0</v>
      </c>
      <c r="I60" s="16" t="n">
        <v>9</v>
      </c>
      <c r="J60" s="16" t="n">
        <v>450</v>
      </c>
      <c r="K60" s="14" t="s">
        <v>126</v>
      </c>
      <c r="L60" s="14" t="s">
        <v>147</v>
      </c>
      <c r="M60" s="14" t="s">
        <v>234</v>
      </c>
      <c r="N60" s="16" t="n">
        <v>5</v>
      </c>
      <c r="O60" s="16" t="s">
        <v>252</v>
      </c>
      <c r="P60" s="12" t="n">
        <f aca="false">INDEX(Scale!$B$16:$B$26,MATCH(K60,Scale!$A$16:$A$26,0))</f>
        <v>5.5</v>
      </c>
      <c r="Q60" s="15" t="n">
        <f aca="false">I60/3+J60/350</f>
        <v>4.28571428571429</v>
      </c>
      <c r="R60" s="15" t="n">
        <f aca="false">I60/4.2+J60/500</f>
        <v>3.04285714285714</v>
      </c>
      <c r="S60" s="15" t="n">
        <f aca="false">2*F60+2*G60/60+2*H60/60+Q60+1</f>
        <v>9.41904761904762</v>
      </c>
      <c r="T60" s="15" t="n">
        <f aca="false">I60+J60/100</f>
        <v>13.5</v>
      </c>
      <c r="U60" s="12" t="n">
        <f aca="false">INDEX(Scale!$B$3:$B$12,MATCH(T60,Scale!$A$3:$A$12,1))</f>
        <v>4</v>
      </c>
      <c r="V60" s="12" t="n">
        <f aca="false">INDEX(Scale!$B$30:$B$38,MATCH(L60,Scale!$A$30:$A$38,0))</f>
        <v>0</v>
      </c>
      <c r="W60" s="17" t="n">
        <f aca="false">MAX(U60,V60)</f>
        <v>4</v>
      </c>
      <c r="X60" s="12" t="n">
        <f aca="false">IF(W60&lt;=3,1,IF(W60&lt;=5,2,IF(W60&lt;=7,3,IF(W60&lt;=8,4,5))))</f>
        <v>2</v>
      </c>
      <c r="Y60" s="13" t="str">
        <f aca="false">IF(S60&lt;=13,"1 day",IF(S60&lt;=15,"1 long day","2 days"))</f>
        <v>1 day</v>
      </c>
      <c r="Z60" s="12" t="n">
        <f aca="false">ROUND(P60*130*Q60,-1)</f>
        <v>3060</v>
      </c>
      <c r="AA60" s="12" t="n">
        <f aca="false">ROUND(P60*120*Q60,-1)</f>
        <v>2830</v>
      </c>
      <c r="AB60" s="12" t="n">
        <f aca="false">ROUND(P60*110*Q60,-1)</f>
        <v>2590</v>
      </c>
      <c r="AC60" s="12" t="n">
        <f aca="false">ROUND(P60*100*Q60,-1)</f>
        <v>2360</v>
      </c>
      <c r="AD60" s="10" t="s">
        <v>345</v>
      </c>
      <c r="AE60" s="16"/>
      <c r="AF60" s="16"/>
      <c r="AG60" s="16"/>
    </row>
    <row r="61" customFormat="false" ht="15" hidden="false" customHeight="false" outlineLevel="0" collapsed="false">
      <c r="A61" s="12" t="n">
        <v>60</v>
      </c>
      <c r="B61" s="13" t="s">
        <v>266</v>
      </c>
      <c r="C61" s="10" t="s">
        <v>346</v>
      </c>
      <c r="D61" s="14" t="s">
        <v>67</v>
      </c>
      <c r="E61" s="14" t="s">
        <v>66</v>
      </c>
      <c r="F61" s="15" t="n">
        <f aca="false">MAX(IFERROR(INDEX(Stations!$B$2:$B$31,MATCH(D61,Stations!$A$2:$A$31,0)),0),IFERROR(INDEX(Stations!$B$2:$B$31,MATCH(E61,Stations!$A$2:$A$31,0)),0))</f>
        <v>1.9</v>
      </c>
      <c r="G61" s="16" t="n">
        <v>10</v>
      </c>
      <c r="H61" s="16" t="n">
        <v>0</v>
      </c>
      <c r="I61" s="16" t="n">
        <v>13</v>
      </c>
      <c r="J61" s="16" t="n">
        <v>700</v>
      </c>
      <c r="K61" s="14" t="s">
        <v>126</v>
      </c>
      <c r="L61" s="14" t="s">
        <v>147</v>
      </c>
      <c r="M61" s="14" t="s">
        <v>231</v>
      </c>
      <c r="N61" s="16" t="n">
        <v>5</v>
      </c>
      <c r="O61" s="16" t="s">
        <v>226</v>
      </c>
      <c r="P61" s="12" t="n">
        <f aca="false">INDEX(Scale!$B$16:$B$26,MATCH(K61,Scale!$A$16:$A$26,0))</f>
        <v>5.5</v>
      </c>
      <c r="Q61" s="15" t="n">
        <f aca="false">I61/3+J61/350</f>
        <v>6.33333333333333</v>
      </c>
      <c r="R61" s="15" t="n">
        <f aca="false">I61/4.2+J61/500</f>
        <v>4.4952380952381</v>
      </c>
      <c r="S61" s="15" t="n">
        <f aca="false">2*F61+2*G61/60+2*H61/60+Q61+1</f>
        <v>11.4666666666667</v>
      </c>
      <c r="T61" s="15" t="n">
        <f aca="false">I61+J61/100</f>
        <v>20</v>
      </c>
      <c r="U61" s="12" t="n">
        <f aca="false">INDEX(Scale!$B$3:$B$12,MATCH(T61,Scale!$A$3:$A$12,1))</f>
        <v>5</v>
      </c>
      <c r="V61" s="12" t="n">
        <f aca="false">INDEX(Scale!$B$30:$B$38,MATCH(L61,Scale!$A$30:$A$38,0))</f>
        <v>0</v>
      </c>
      <c r="W61" s="17" t="n">
        <f aca="false">MAX(U61,V61)</f>
        <v>5</v>
      </c>
      <c r="X61" s="12" t="n">
        <f aca="false">IF(W61&lt;=3,1,IF(W61&lt;=5,2,IF(W61&lt;=7,3,IF(W61&lt;=8,4,5))))</f>
        <v>2</v>
      </c>
      <c r="Y61" s="13" t="str">
        <f aca="false">IF(S61&lt;=13,"1 day",IF(S61&lt;=15,"1 long day","2 days"))</f>
        <v>1 day</v>
      </c>
      <c r="Z61" s="12" t="n">
        <f aca="false">ROUND(P61*130*Q61,-1)</f>
        <v>4530</v>
      </c>
      <c r="AA61" s="12" t="n">
        <f aca="false">ROUND(P61*120*Q61,-1)</f>
        <v>4180</v>
      </c>
      <c r="AB61" s="12" t="n">
        <f aca="false">ROUND(P61*110*Q61,-1)</f>
        <v>3830</v>
      </c>
      <c r="AC61" s="12" t="n">
        <f aca="false">ROUND(P61*100*Q61,-1)</f>
        <v>3480</v>
      </c>
      <c r="AD61" s="10" t="s">
        <v>347</v>
      </c>
      <c r="AE61" s="16"/>
      <c r="AF61" s="16"/>
      <c r="AG61" s="16"/>
    </row>
    <row r="62" customFormat="false" ht="15" hidden="false" customHeight="false" outlineLevel="0" collapsed="false">
      <c r="A62" s="12" t="n">
        <v>61</v>
      </c>
      <c r="B62" s="13" t="s">
        <v>266</v>
      </c>
      <c r="C62" s="10" t="s">
        <v>348</v>
      </c>
      <c r="D62" s="14" t="s">
        <v>68</v>
      </c>
      <c r="E62" s="14" t="s">
        <v>68</v>
      </c>
      <c r="F62" s="15" t="n">
        <f aca="false">MAX(IFERROR(INDEX(Stations!$B$2:$B$31,MATCH(D62,Stations!$A$2:$A$31,0)),0),IFERROR(INDEX(Stations!$B$2:$B$31,MATCH(E62,Stations!$A$2:$A$31,0)),0))</f>
        <v>2</v>
      </c>
      <c r="G62" s="16" t="n">
        <v>10</v>
      </c>
      <c r="H62" s="16" t="n">
        <v>0</v>
      </c>
      <c r="I62" s="16" t="n">
        <v>6</v>
      </c>
      <c r="J62" s="16" t="n">
        <v>350</v>
      </c>
      <c r="K62" s="14" t="s">
        <v>128</v>
      </c>
      <c r="L62" s="14" t="s">
        <v>147</v>
      </c>
      <c r="M62" s="14" t="s">
        <v>220</v>
      </c>
      <c r="N62" s="16" t="n">
        <v>2</v>
      </c>
      <c r="O62" s="16" t="s">
        <v>221</v>
      </c>
      <c r="P62" s="12" t="n">
        <f aca="false">INDEX(Scale!$B$16:$B$26,MATCH(K62,Scale!$A$16:$A$26,0))</f>
        <v>6.3</v>
      </c>
      <c r="Q62" s="15" t="n">
        <f aca="false">I62/3+J62/350</f>
        <v>3</v>
      </c>
      <c r="R62" s="15" t="n">
        <f aca="false">I62/4.2+J62/500</f>
        <v>2.12857142857143</v>
      </c>
      <c r="S62" s="15" t="n">
        <f aca="false">2*F62+2*G62/60+2*H62/60+Q62+1</f>
        <v>8.33333333333333</v>
      </c>
      <c r="T62" s="15" t="n">
        <f aca="false">I62+J62/100</f>
        <v>9.5</v>
      </c>
      <c r="U62" s="12" t="n">
        <f aca="false">INDEX(Scale!$B$3:$B$12,MATCH(T62,Scale!$A$3:$A$12,1))</f>
        <v>3</v>
      </c>
      <c r="V62" s="12" t="n">
        <f aca="false">INDEX(Scale!$B$30:$B$38,MATCH(L62,Scale!$A$30:$A$38,0))</f>
        <v>0</v>
      </c>
      <c r="W62" s="17" t="n">
        <f aca="false">MAX(U62,V62)</f>
        <v>3</v>
      </c>
      <c r="X62" s="12" t="n">
        <f aca="false">IF(W62&lt;=3,1,IF(W62&lt;=5,2,IF(W62&lt;=7,3,IF(W62&lt;=8,4,5))))</f>
        <v>1</v>
      </c>
      <c r="Y62" s="13" t="str">
        <f aca="false">IF(S62&lt;=13,"1 day",IF(S62&lt;=15,"1 long day","2 days"))</f>
        <v>1 day</v>
      </c>
      <c r="Z62" s="12" t="n">
        <f aca="false">ROUND(P62*130*Q62,-1)</f>
        <v>2460</v>
      </c>
      <c r="AA62" s="12" t="n">
        <f aca="false">ROUND(P62*120*Q62,-1)</f>
        <v>2270</v>
      </c>
      <c r="AB62" s="12" t="n">
        <f aca="false">ROUND(P62*110*Q62,-1)</f>
        <v>2080</v>
      </c>
      <c r="AC62" s="12" t="n">
        <f aca="false">ROUND(P62*100*Q62,-1)</f>
        <v>1890</v>
      </c>
      <c r="AD62" s="10" t="s">
        <v>349</v>
      </c>
      <c r="AE62" s="16"/>
      <c r="AF62" s="16"/>
      <c r="AG62" s="16"/>
    </row>
    <row r="63" customFormat="false" ht="15" hidden="false" customHeight="false" outlineLevel="0" collapsed="false">
      <c r="A63" s="12" t="n">
        <v>62</v>
      </c>
      <c r="B63" s="13" t="s">
        <v>266</v>
      </c>
      <c r="C63" s="10" t="s">
        <v>350</v>
      </c>
      <c r="D63" s="14" t="s">
        <v>68</v>
      </c>
      <c r="E63" s="14" t="s">
        <v>68</v>
      </c>
      <c r="F63" s="15" t="n">
        <f aca="false">MAX(IFERROR(INDEX(Stations!$B$2:$B$31,MATCH(D63,Stations!$A$2:$A$31,0)),0),IFERROR(INDEX(Stations!$B$2:$B$31,MATCH(E63,Stations!$A$2:$A$31,0)),0))</f>
        <v>2</v>
      </c>
      <c r="G63" s="16" t="n">
        <v>10</v>
      </c>
      <c r="H63" s="16" t="n">
        <v>0</v>
      </c>
      <c r="I63" s="16" t="n">
        <v>9</v>
      </c>
      <c r="J63" s="16" t="n">
        <v>400</v>
      </c>
      <c r="K63" s="14" t="s">
        <v>126</v>
      </c>
      <c r="L63" s="14" t="s">
        <v>147</v>
      </c>
      <c r="M63" s="14" t="s">
        <v>220</v>
      </c>
      <c r="N63" s="16" t="n">
        <v>3</v>
      </c>
      <c r="O63" s="16" t="s">
        <v>221</v>
      </c>
      <c r="P63" s="12" t="n">
        <f aca="false">INDEX(Scale!$B$16:$B$26,MATCH(K63,Scale!$A$16:$A$26,0))</f>
        <v>5.5</v>
      </c>
      <c r="Q63" s="15" t="n">
        <f aca="false">I63/3+J63/350</f>
        <v>4.14285714285714</v>
      </c>
      <c r="R63" s="15" t="n">
        <f aca="false">I63/4.2+J63/500</f>
        <v>2.94285714285714</v>
      </c>
      <c r="S63" s="15" t="n">
        <f aca="false">2*F63+2*G63/60+2*H63/60+Q63+1</f>
        <v>9.47619047619047</v>
      </c>
      <c r="T63" s="15" t="n">
        <f aca="false">I63+J63/100</f>
        <v>13</v>
      </c>
      <c r="U63" s="12" t="n">
        <f aca="false">INDEX(Scale!$B$3:$B$12,MATCH(T63,Scale!$A$3:$A$12,1))</f>
        <v>4</v>
      </c>
      <c r="V63" s="12" t="n">
        <f aca="false">INDEX(Scale!$B$30:$B$38,MATCH(L63,Scale!$A$30:$A$38,0))</f>
        <v>0</v>
      </c>
      <c r="W63" s="17" t="n">
        <f aca="false">MAX(U63,V63)</f>
        <v>4</v>
      </c>
      <c r="X63" s="12" t="n">
        <f aca="false">IF(W63&lt;=3,1,IF(W63&lt;=5,2,IF(W63&lt;=7,3,IF(W63&lt;=8,4,5))))</f>
        <v>2</v>
      </c>
      <c r="Y63" s="13" t="str">
        <f aca="false">IF(S63&lt;=13,"1 day",IF(S63&lt;=15,"1 long day","2 days"))</f>
        <v>1 day</v>
      </c>
      <c r="Z63" s="12" t="n">
        <f aca="false">ROUND(P63*130*Q63,-1)</f>
        <v>2960</v>
      </c>
      <c r="AA63" s="12" t="n">
        <f aca="false">ROUND(P63*120*Q63,-1)</f>
        <v>2730</v>
      </c>
      <c r="AB63" s="12" t="n">
        <f aca="false">ROUND(P63*110*Q63,-1)</f>
        <v>2510</v>
      </c>
      <c r="AC63" s="12" t="n">
        <f aca="false">ROUND(P63*100*Q63,-1)</f>
        <v>2280</v>
      </c>
      <c r="AD63" s="10" t="s">
        <v>351</v>
      </c>
      <c r="AE63" s="16"/>
      <c r="AF63" s="16"/>
      <c r="AG63" s="16"/>
    </row>
    <row r="64" customFormat="false" ht="15" hidden="false" customHeight="false" outlineLevel="0" collapsed="false">
      <c r="A64" s="12" t="n">
        <v>63</v>
      </c>
      <c r="B64" s="13" t="s">
        <v>266</v>
      </c>
      <c r="C64" s="10" t="s">
        <v>352</v>
      </c>
      <c r="D64" s="14" t="s">
        <v>68</v>
      </c>
      <c r="E64" s="14" t="s">
        <v>70</v>
      </c>
      <c r="F64" s="15" t="n">
        <f aca="false">MAX(IFERROR(INDEX(Stations!$B$2:$B$31,MATCH(D64,Stations!$A$2:$A$31,0)),0),IFERROR(INDEX(Stations!$B$2:$B$31,MATCH(E64,Stations!$A$2:$A$31,0)),0))</f>
        <v>2.3</v>
      </c>
      <c r="G64" s="16" t="n">
        <v>10</v>
      </c>
      <c r="H64" s="16" t="n">
        <v>0</v>
      </c>
      <c r="I64" s="16" t="n">
        <v>14</v>
      </c>
      <c r="J64" s="16" t="n">
        <v>450</v>
      </c>
      <c r="K64" s="14" t="s">
        <v>126</v>
      </c>
      <c r="L64" s="14" t="s">
        <v>147</v>
      </c>
      <c r="M64" s="14" t="s">
        <v>220</v>
      </c>
      <c r="N64" s="16" t="n">
        <v>4</v>
      </c>
      <c r="O64" s="16" t="s">
        <v>226</v>
      </c>
      <c r="P64" s="12" t="n">
        <f aca="false">INDEX(Scale!$B$16:$B$26,MATCH(K64,Scale!$A$16:$A$26,0))</f>
        <v>5.5</v>
      </c>
      <c r="Q64" s="15" t="n">
        <f aca="false">I64/3+J64/350</f>
        <v>5.95238095238095</v>
      </c>
      <c r="R64" s="15" t="n">
        <f aca="false">I64/4.2+J64/500</f>
        <v>4.23333333333333</v>
      </c>
      <c r="S64" s="15" t="n">
        <f aca="false">2*F64+2*G64/60+2*H64/60+Q64+1</f>
        <v>11.8857142857143</v>
      </c>
      <c r="T64" s="15" t="n">
        <f aca="false">I64+J64/100</f>
        <v>18.5</v>
      </c>
      <c r="U64" s="12" t="n">
        <f aca="false">INDEX(Scale!$B$3:$B$12,MATCH(T64,Scale!$A$3:$A$12,1))</f>
        <v>5</v>
      </c>
      <c r="V64" s="12" t="n">
        <f aca="false">INDEX(Scale!$B$30:$B$38,MATCH(L64,Scale!$A$30:$A$38,0))</f>
        <v>0</v>
      </c>
      <c r="W64" s="17" t="n">
        <f aca="false">MAX(U64,V64)</f>
        <v>5</v>
      </c>
      <c r="X64" s="12" t="n">
        <f aca="false">IF(W64&lt;=3,1,IF(W64&lt;=5,2,IF(W64&lt;=7,3,IF(W64&lt;=8,4,5))))</f>
        <v>2</v>
      </c>
      <c r="Y64" s="13" t="str">
        <f aca="false">IF(S64&lt;=13,"1 day",IF(S64&lt;=15,"1 long day","2 days"))</f>
        <v>1 day</v>
      </c>
      <c r="Z64" s="12" t="n">
        <f aca="false">ROUND(P64*130*Q64,-1)</f>
        <v>4260</v>
      </c>
      <c r="AA64" s="12" t="n">
        <f aca="false">ROUND(P64*120*Q64,-1)</f>
        <v>3930</v>
      </c>
      <c r="AB64" s="12" t="n">
        <f aca="false">ROUND(P64*110*Q64,-1)</f>
        <v>3600</v>
      </c>
      <c r="AC64" s="12" t="n">
        <f aca="false">ROUND(P64*100*Q64,-1)</f>
        <v>3270</v>
      </c>
      <c r="AD64" s="10" t="s">
        <v>353</v>
      </c>
      <c r="AE64" s="16"/>
      <c r="AF64" s="16"/>
      <c r="AG64" s="16"/>
    </row>
    <row r="65" customFormat="false" ht="15" hidden="false" customHeight="false" outlineLevel="0" collapsed="false">
      <c r="A65" s="12" t="n">
        <v>64</v>
      </c>
      <c r="B65" s="13" t="s">
        <v>266</v>
      </c>
      <c r="C65" s="10" t="s">
        <v>354</v>
      </c>
      <c r="D65" s="14" t="s">
        <v>68</v>
      </c>
      <c r="E65" s="14" t="s">
        <v>67</v>
      </c>
      <c r="F65" s="15" t="n">
        <f aca="false">MAX(IFERROR(INDEX(Stations!$B$2:$B$31,MATCH(D65,Stations!$A$2:$A$31,0)),0),IFERROR(INDEX(Stations!$B$2:$B$31,MATCH(E65,Stations!$A$2:$A$31,0)),0))</f>
        <v>2</v>
      </c>
      <c r="G65" s="16" t="n">
        <v>10</v>
      </c>
      <c r="H65" s="16" t="n">
        <v>0</v>
      </c>
      <c r="I65" s="16" t="n">
        <v>10</v>
      </c>
      <c r="J65" s="16" t="n">
        <v>600</v>
      </c>
      <c r="K65" s="14" t="s">
        <v>128</v>
      </c>
      <c r="L65" s="14" t="s">
        <v>147</v>
      </c>
      <c r="M65" s="14" t="s">
        <v>231</v>
      </c>
      <c r="N65" s="16" t="n">
        <v>3</v>
      </c>
      <c r="O65" s="16" t="s">
        <v>221</v>
      </c>
      <c r="P65" s="12" t="n">
        <f aca="false">INDEX(Scale!$B$16:$B$26,MATCH(K65,Scale!$A$16:$A$26,0))</f>
        <v>6.3</v>
      </c>
      <c r="Q65" s="15" t="n">
        <f aca="false">I65/3+J65/350</f>
        <v>5.04761904761905</v>
      </c>
      <c r="R65" s="15" t="n">
        <f aca="false">I65/4.2+J65/500</f>
        <v>3.58095238095238</v>
      </c>
      <c r="S65" s="15" t="n">
        <f aca="false">2*F65+2*G65/60+2*H65/60+Q65+1</f>
        <v>10.3809523809524</v>
      </c>
      <c r="T65" s="15" t="n">
        <f aca="false">I65+J65/100</f>
        <v>16</v>
      </c>
      <c r="U65" s="12" t="n">
        <f aca="false">INDEX(Scale!$B$3:$B$12,MATCH(T65,Scale!$A$3:$A$12,1))</f>
        <v>5</v>
      </c>
      <c r="V65" s="12" t="n">
        <f aca="false">INDEX(Scale!$B$30:$B$38,MATCH(L65,Scale!$A$30:$A$38,0))</f>
        <v>0</v>
      </c>
      <c r="W65" s="17" t="n">
        <f aca="false">MAX(U65,V65)</f>
        <v>5</v>
      </c>
      <c r="X65" s="12" t="n">
        <f aca="false">IF(W65&lt;=3,1,IF(W65&lt;=5,2,IF(W65&lt;=7,3,IF(W65&lt;=8,4,5))))</f>
        <v>2</v>
      </c>
      <c r="Y65" s="13" t="str">
        <f aca="false">IF(S65&lt;=13,"1 day",IF(S65&lt;=15,"1 long day","2 days"))</f>
        <v>1 day</v>
      </c>
      <c r="Z65" s="12" t="n">
        <f aca="false">ROUND(P65*130*Q65,-1)</f>
        <v>4130</v>
      </c>
      <c r="AA65" s="12" t="n">
        <f aca="false">ROUND(P65*120*Q65,-1)</f>
        <v>3820</v>
      </c>
      <c r="AB65" s="12" t="n">
        <f aca="false">ROUND(P65*110*Q65,-1)</f>
        <v>3500</v>
      </c>
      <c r="AC65" s="12" t="n">
        <f aca="false">ROUND(P65*100*Q65,-1)</f>
        <v>3180</v>
      </c>
      <c r="AD65" s="10" t="s">
        <v>355</v>
      </c>
      <c r="AE65" s="16"/>
      <c r="AF65" s="16"/>
      <c r="AG65" s="16"/>
    </row>
    <row r="66" customFormat="false" ht="15" hidden="false" customHeight="false" outlineLevel="0" collapsed="false">
      <c r="A66" s="12" t="n">
        <v>65</v>
      </c>
      <c r="B66" s="13" t="s">
        <v>266</v>
      </c>
      <c r="C66" s="10" t="s">
        <v>356</v>
      </c>
      <c r="D66" s="14" t="s">
        <v>68</v>
      </c>
      <c r="E66" s="14" t="s">
        <v>67</v>
      </c>
      <c r="F66" s="15" t="n">
        <f aca="false">MAX(IFERROR(INDEX(Stations!$B$2:$B$31,MATCH(D66,Stations!$A$2:$A$31,0)),0),IFERROR(INDEX(Stations!$B$2:$B$31,MATCH(E66,Stations!$A$2:$A$31,0)),0))</f>
        <v>2</v>
      </c>
      <c r="G66" s="16" t="n">
        <v>10</v>
      </c>
      <c r="H66" s="16" t="n">
        <v>0</v>
      </c>
      <c r="I66" s="16" t="n">
        <v>16</v>
      </c>
      <c r="J66" s="16" t="n">
        <v>850</v>
      </c>
      <c r="K66" s="14" t="s">
        <v>128</v>
      </c>
      <c r="L66" s="14" t="s">
        <v>147</v>
      </c>
      <c r="M66" s="14" t="s">
        <v>239</v>
      </c>
      <c r="N66" s="16" t="n">
        <v>4</v>
      </c>
      <c r="O66" s="16" t="s">
        <v>221</v>
      </c>
      <c r="P66" s="12" t="n">
        <f aca="false">INDEX(Scale!$B$16:$B$26,MATCH(K66,Scale!$A$16:$A$26,0))</f>
        <v>6.3</v>
      </c>
      <c r="Q66" s="15" t="n">
        <f aca="false">I66/3+J66/350</f>
        <v>7.76190476190476</v>
      </c>
      <c r="R66" s="15" t="n">
        <f aca="false">I66/4.2+J66/500</f>
        <v>5.50952380952381</v>
      </c>
      <c r="S66" s="15" t="n">
        <f aca="false">2*F66+2*G66/60+2*H66/60+Q66+1</f>
        <v>13.0952380952381</v>
      </c>
      <c r="T66" s="15" t="n">
        <f aca="false">I66+J66/100</f>
        <v>24.5</v>
      </c>
      <c r="U66" s="12" t="n">
        <f aca="false">INDEX(Scale!$B$3:$B$12,MATCH(T66,Scale!$A$3:$A$12,1))</f>
        <v>6</v>
      </c>
      <c r="V66" s="12" t="n">
        <f aca="false">INDEX(Scale!$B$30:$B$38,MATCH(L66,Scale!$A$30:$A$38,0))</f>
        <v>0</v>
      </c>
      <c r="W66" s="17" t="n">
        <f aca="false">MAX(U66,V66)</f>
        <v>6</v>
      </c>
      <c r="X66" s="12" t="n">
        <f aca="false">IF(W66&lt;=3,1,IF(W66&lt;=5,2,IF(W66&lt;=7,3,IF(W66&lt;=8,4,5))))</f>
        <v>3</v>
      </c>
      <c r="Y66" s="13" t="str">
        <f aca="false">IF(S66&lt;=13,"1 day",IF(S66&lt;=15,"1 long day","2 days"))</f>
        <v>1 long day</v>
      </c>
      <c r="Z66" s="12" t="n">
        <f aca="false">ROUND(P66*130*Q66,-1)</f>
        <v>6360</v>
      </c>
      <c r="AA66" s="12" t="n">
        <f aca="false">ROUND(P66*120*Q66,-1)</f>
        <v>5870</v>
      </c>
      <c r="AB66" s="12" t="n">
        <f aca="false">ROUND(P66*110*Q66,-1)</f>
        <v>5380</v>
      </c>
      <c r="AC66" s="12" t="n">
        <f aca="false">ROUND(P66*100*Q66,-1)</f>
        <v>4890</v>
      </c>
      <c r="AD66" s="10" t="s">
        <v>357</v>
      </c>
      <c r="AE66" s="16"/>
      <c r="AF66" s="16"/>
      <c r="AG66" s="16"/>
    </row>
    <row r="67" customFormat="false" ht="15" hidden="false" customHeight="false" outlineLevel="0" collapsed="false">
      <c r="A67" s="12" t="n">
        <v>66</v>
      </c>
      <c r="B67" s="13" t="s">
        <v>266</v>
      </c>
      <c r="C67" s="10" t="s">
        <v>358</v>
      </c>
      <c r="D67" s="14" t="s">
        <v>68</v>
      </c>
      <c r="E67" s="14" t="s">
        <v>68</v>
      </c>
      <c r="F67" s="15" t="n">
        <f aca="false">MAX(IFERROR(INDEX(Stations!$B$2:$B$31,MATCH(D67,Stations!$A$2:$A$31,0)),0),IFERROR(INDEX(Stations!$B$2:$B$31,MATCH(E67,Stations!$A$2:$A$31,0)),0))</f>
        <v>2</v>
      </c>
      <c r="G67" s="16" t="n">
        <v>10</v>
      </c>
      <c r="H67" s="16" t="n">
        <v>0</v>
      </c>
      <c r="I67" s="16" t="n">
        <v>11</v>
      </c>
      <c r="J67" s="16" t="n">
        <v>600</v>
      </c>
      <c r="K67" s="14" t="s">
        <v>128</v>
      </c>
      <c r="L67" s="14" t="s">
        <v>147</v>
      </c>
      <c r="M67" s="14" t="s">
        <v>234</v>
      </c>
      <c r="N67" s="16" t="n">
        <v>5</v>
      </c>
      <c r="O67" s="16" t="s">
        <v>226</v>
      </c>
      <c r="P67" s="12" t="n">
        <f aca="false">INDEX(Scale!$B$16:$B$26,MATCH(K67,Scale!$A$16:$A$26,0))</f>
        <v>6.3</v>
      </c>
      <c r="Q67" s="15" t="n">
        <f aca="false">I67/3+J67/350</f>
        <v>5.38095238095238</v>
      </c>
      <c r="R67" s="15" t="n">
        <f aca="false">I67/4.2+J67/500</f>
        <v>3.81904761904762</v>
      </c>
      <c r="S67" s="15" t="n">
        <f aca="false">2*F67+2*G67/60+2*H67/60+Q67+1</f>
        <v>10.7142857142857</v>
      </c>
      <c r="T67" s="15" t="n">
        <f aca="false">I67+J67/100</f>
        <v>17</v>
      </c>
      <c r="U67" s="12" t="n">
        <f aca="false">INDEX(Scale!$B$3:$B$12,MATCH(T67,Scale!$A$3:$A$12,1))</f>
        <v>5</v>
      </c>
      <c r="V67" s="12" t="n">
        <f aca="false">INDEX(Scale!$B$30:$B$38,MATCH(L67,Scale!$A$30:$A$38,0))</f>
        <v>0</v>
      </c>
      <c r="W67" s="17" t="n">
        <f aca="false">MAX(U67,V67)</f>
        <v>5</v>
      </c>
      <c r="X67" s="12" t="n">
        <f aca="false">IF(W67&lt;=3,1,IF(W67&lt;=5,2,IF(W67&lt;=7,3,IF(W67&lt;=8,4,5))))</f>
        <v>2</v>
      </c>
      <c r="Y67" s="13" t="str">
        <f aca="false">IF(S67&lt;=13,"1 day",IF(S67&lt;=15,"1 long day","2 days"))</f>
        <v>1 day</v>
      </c>
      <c r="Z67" s="12" t="n">
        <f aca="false">ROUND(P67*130*Q67,-1)</f>
        <v>4410</v>
      </c>
      <c r="AA67" s="12" t="n">
        <f aca="false">ROUND(P67*120*Q67,-1)</f>
        <v>4070</v>
      </c>
      <c r="AB67" s="12" t="n">
        <f aca="false">ROUND(P67*110*Q67,-1)</f>
        <v>3730</v>
      </c>
      <c r="AC67" s="12" t="n">
        <f aca="false">ROUND(P67*100*Q67,-1)</f>
        <v>3390</v>
      </c>
      <c r="AD67" s="10" t="s">
        <v>359</v>
      </c>
      <c r="AE67" s="16"/>
      <c r="AF67" s="16"/>
      <c r="AG67" s="16"/>
    </row>
    <row r="68" customFormat="false" ht="15" hidden="false" customHeight="false" outlineLevel="0" collapsed="false">
      <c r="A68" s="12" t="n">
        <v>67</v>
      </c>
      <c r="B68" s="13" t="s">
        <v>266</v>
      </c>
      <c r="C68" s="10" t="s">
        <v>360</v>
      </c>
      <c r="D68" s="14" t="s">
        <v>68</v>
      </c>
      <c r="E68" s="14" t="s">
        <v>67</v>
      </c>
      <c r="F68" s="15" t="n">
        <f aca="false">MAX(IFERROR(INDEX(Stations!$B$2:$B$31,MATCH(D68,Stations!$A$2:$A$31,0)),0),IFERROR(INDEX(Stations!$B$2:$B$31,MATCH(E68,Stations!$A$2:$A$31,0)),0))</f>
        <v>2</v>
      </c>
      <c r="G68" s="16" t="n">
        <v>10</v>
      </c>
      <c r="H68" s="16" t="n">
        <v>0</v>
      </c>
      <c r="I68" s="16" t="n">
        <v>12</v>
      </c>
      <c r="J68" s="16" t="n">
        <v>650</v>
      </c>
      <c r="K68" s="14" t="s">
        <v>128</v>
      </c>
      <c r="L68" s="14" t="s">
        <v>147</v>
      </c>
      <c r="M68" s="14" t="s">
        <v>231</v>
      </c>
      <c r="N68" s="16" t="n">
        <v>4</v>
      </c>
      <c r="O68" s="16" t="s">
        <v>226</v>
      </c>
      <c r="P68" s="12" t="n">
        <f aca="false">INDEX(Scale!$B$16:$B$26,MATCH(K68,Scale!$A$16:$A$26,0))</f>
        <v>6.3</v>
      </c>
      <c r="Q68" s="15" t="n">
        <f aca="false">I68/3+J68/350</f>
        <v>5.85714285714286</v>
      </c>
      <c r="R68" s="15" t="n">
        <f aca="false">I68/4.2+J68/500</f>
        <v>4.15714285714286</v>
      </c>
      <c r="S68" s="15" t="n">
        <f aca="false">2*F68+2*G68/60+2*H68/60+Q68+1</f>
        <v>11.1904761904762</v>
      </c>
      <c r="T68" s="15" t="n">
        <f aca="false">I68+J68/100</f>
        <v>18.5</v>
      </c>
      <c r="U68" s="12" t="n">
        <f aca="false">INDEX(Scale!$B$3:$B$12,MATCH(T68,Scale!$A$3:$A$12,1))</f>
        <v>5</v>
      </c>
      <c r="V68" s="12" t="n">
        <f aca="false">INDEX(Scale!$B$30:$B$38,MATCH(L68,Scale!$A$30:$A$38,0))</f>
        <v>0</v>
      </c>
      <c r="W68" s="17" t="n">
        <f aca="false">MAX(U68,V68)</f>
        <v>5</v>
      </c>
      <c r="X68" s="12" t="n">
        <f aca="false">IF(W68&lt;=3,1,IF(W68&lt;=5,2,IF(W68&lt;=7,3,IF(W68&lt;=8,4,5))))</f>
        <v>2</v>
      </c>
      <c r="Y68" s="13" t="str">
        <f aca="false">IF(S68&lt;=13,"1 day",IF(S68&lt;=15,"1 long day","2 days"))</f>
        <v>1 day</v>
      </c>
      <c r="Z68" s="12" t="n">
        <f aca="false">ROUND(P68*130*Q68,-1)</f>
        <v>4800</v>
      </c>
      <c r="AA68" s="12" t="n">
        <f aca="false">ROUND(P68*120*Q68,-1)</f>
        <v>4430</v>
      </c>
      <c r="AB68" s="12" t="n">
        <f aca="false">ROUND(P68*110*Q68,-1)</f>
        <v>4060</v>
      </c>
      <c r="AC68" s="12" t="n">
        <f aca="false">ROUND(P68*100*Q68,-1)</f>
        <v>3690</v>
      </c>
      <c r="AD68" s="10" t="s">
        <v>361</v>
      </c>
      <c r="AE68" s="16"/>
      <c r="AF68" s="16"/>
      <c r="AG68" s="16"/>
    </row>
    <row r="69" customFormat="false" ht="15" hidden="false" customHeight="false" outlineLevel="0" collapsed="false">
      <c r="A69" s="12" t="n">
        <v>68</v>
      </c>
      <c r="B69" s="13" t="s">
        <v>362</v>
      </c>
      <c r="C69" s="10" t="s">
        <v>363</v>
      </c>
      <c r="D69" s="14" t="s">
        <v>68</v>
      </c>
      <c r="E69" s="14" t="s">
        <v>81</v>
      </c>
      <c r="F69" s="15" t="n">
        <f aca="false">MAX(IFERROR(INDEX(Stations!$B$2:$B$31,MATCH(D69,Stations!$A$2:$A$31,0)),0),IFERROR(INDEX(Stations!$B$2:$B$31,MATCH(E69,Stations!$A$2:$A$31,0)),0))</f>
        <v>3.1</v>
      </c>
      <c r="G69" s="16" t="n">
        <v>10</v>
      </c>
      <c r="H69" s="16" t="n">
        <v>0</v>
      </c>
      <c r="I69" s="16" t="n">
        <v>14</v>
      </c>
      <c r="J69" s="16" t="n">
        <v>400</v>
      </c>
      <c r="K69" s="14" t="s">
        <v>126</v>
      </c>
      <c r="L69" s="14" t="s">
        <v>147</v>
      </c>
      <c r="M69" s="14" t="s">
        <v>231</v>
      </c>
      <c r="N69" s="16" t="n">
        <v>4</v>
      </c>
      <c r="O69" s="16" t="s">
        <v>226</v>
      </c>
      <c r="P69" s="12" t="n">
        <f aca="false">INDEX(Scale!$B$16:$B$26,MATCH(K69,Scale!$A$16:$A$26,0))</f>
        <v>5.5</v>
      </c>
      <c r="Q69" s="15" t="n">
        <f aca="false">I69/3+J69/350</f>
        <v>5.80952380952381</v>
      </c>
      <c r="R69" s="15" t="n">
        <f aca="false">I69/4.2+J69/500</f>
        <v>4.13333333333333</v>
      </c>
      <c r="S69" s="15" t="n">
        <f aca="false">2*F69+2*G69/60+2*H69/60+Q69+1</f>
        <v>13.3428571428571</v>
      </c>
      <c r="T69" s="15" t="n">
        <f aca="false">I69+J69/100</f>
        <v>18</v>
      </c>
      <c r="U69" s="12" t="n">
        <f aca="false">INDEX(Scale!$B$3:$B$12,MATCH(T69,Scale!$A$3:$A$12,1))</f>
        <v>5</v>
      </c>
      <c r="V69" s="12" t="n">
        <f aca="false">INDEX(Scale!$B$30:$B$38,MATCH(L69,Scale!$A$30:$A$38,0))</f>
        <v>0</v>
      </c>
      <c r="W69" s="17" t="n">
        <f aca="false">MAX(U69,V69)</f>
        <v>5</v>
      </c>
      <c r="X69" s="12" t="n">
        <f aca="false">IF(W69&lt;=3,1,IF(W69&lt;=5,2,IF(W69&lt;=7,3,IF(W69&lt;=8,4,5))))</f>
        <v>2</v>
      </c>
      <c r="Y69" s="13" t="str">
        <f aca="false">IF(S69&lt;=13,"1 day",IF(S69&lt;=15,"1 long day","2 days"))</f>
        <v>1 long day</v>
      </c>
      <c r="Z69" s="12" t="n">
        <f aca="false">ROUND(P69*130*Q69,-1)</f>
        <v>4150</v>
      </c>
      <c r="AA69" s="12" t="n">
        <f aca="false">ROUND(P69*120*Q69,-1)</f>
        <v>3830</v>
      </c>
      <c r="AB69" s="12" t="n">
        <f aca="false">ROUND(P69*110*Q69,-1)</f>
        <v>3510</v>
      </c>
      <c r="AC69" s="12" t="n">
        <f aca="false">ROUND(P69*100*Q69,-1)</f>
        <v>3200</v>
      </c>
      <c r="AD69" s="10" t="s">
        <v>364</v>
      </c>
      <c r="AE69" s="16"/>
      <c r="AF69" s="16"/>
      <c r="AG69" s="16"/>
    </row>
    <row r="70" customFormat="false" ht="15" hidden="false" customHeight="false" outlineLevel="0" collapsed="false">
      <c r="A70" s="12" t="n">
        <v>69</v>
      </c>
      <c r="B70" s="13" t="s">
        <v>218</v>
      </c>
      <c r="C70" s="10" t="s">
        <v>365</v>
      </c>
      <c r="D70" s="14" t="s">
        <v>68</v>
      </c>
      <c r="E70" s="14" t="s">
        <v>66</v>
      </c>
      <c r="F70" s="15" t="n">
        <f aca="false">MAX(IFERROR(INDEX(Stations!$B$2:$B$31,MATCH(D70,Stations!$A$2:$A$31,0)),0),IFERROR(INDEX(Stations!$B$2:$B$31,MATCH(E70,Stations!$A$2:$A$31,0)),0))</f>
        <v>2</v>
      </c>
      <c r="G70" s="16" t="n">
        <v>10</v>
      </c>
      <c r="H70" s="16" t="n">
        <v>0</v>
      </c>
      <c r="I70" s="16" t="n">
        <v>18</v>
      </c>
      <c r="J70" s="16" t="n">
        <v>800</v>
      </c>
      <c r="K70" s="14" t="s">
        <v>128</v>
      </c>
      <c r="L70" s="14" t="s">
        <v>147</v>
      </c>
      <c r="M70" s="14" t="s">
        <v>239</v>
      </c>
      <c r="N70" s="16" t="n">
        <v>4</v>
      </c>
      <c r="O70" s="16" t="s">
        <v>252</v>
      </c>
      <c r="P70" s="12" t="n">
        <f aca="false">INDEX(Scale!$B$16:$B$26,MATCH(K70,Scale!$A$16:$A$26,0))</f>
        <v>6.3</v>
      </c>
      <c r="Q70" s="15" t="n">
        <f aca="false">I70/3+J70/350</f>
        <v>8.28571428571429</v>
      </c>
      <c r="R70" s="15" t="n">
        <f aca="false">I70/4.2+J70/500</f>
        <v>5.88571428571429</v>
      </c>
      <c r="S70" s="15" t="n">
        <f aca="false">2*F70+2*G70/60+2*H70/60+Q70+1</f>
        <v>13.6190476190476</v>
      </c>
      <c r="T70" s="15" t="n">
        <f aca="false">I70+J70/100</f>
        <v>26</v>
      </c>
      <c r="U70" s="12" t="n">
        <f aca="false">INDEX(Scale!$B$3:$B$12,MATCH(T70,Scale!$A$3:$A$12,1))</f>
        <v>6</v>
      </c>
      <c r="V70" s="12" t="n">
        <f aca="false">INDEX(Scale!$B$30:$B$38,MATCH(L70,Scale!$A$30:$A$38,0))</f>
        <v>0</v>
      </c>
      <c r="W70" s="17" t="n">
        <f aca="false">MAX(U70,V70)</f>
        <v>6</v>
      </c>
      <c r="X70" s="12" t="n">
        <f aca="false">IF(W70&lt;=3,1,IF(W70&lt;=5,2,IF(W70&lt;=7,3,IF(W70&lt;=8,4,5))))</f>
        <v>3</v>
      </c>
      <c r="Y70" s="13" t="str">
        <f aca="false">IF(S70&lt;=13,"1 day",IF(S70&lt;=15,"1 long day","2 days"))</f>
        <v>1 long day</v>
      </c>
      <c r="Z70" s="12" t="n">
        <f aca="false">ROUND(P70*130*Q70,-1)</f>
        <v>6790</v>
      </c>
      <c r="AA70" s="12" t="n">
        <f aca="false">ROUND(P70*120*Q70,-1)</f>
        <v>6260</v>
      </c>
      <c r="AB70" s="12" t="n">
        <f aca="false">ROUND(P70*110*Q70,-1)</f>
        <v>5740</v>
      </c>
      <c r="AC70" s="12" t="n">
        <f aca="false">ROUND(P70*100*Q70,-1)</f>
        <v>5220</v>
      </c>
      <c r="AD70" s="10" t="s">
        <v>366</v>
      </c>
      <c r="AE70" s="16"/>
      <c r="AF70" s="16"/>
      <c r="AG70" s="16"/>
    </row>
    <row r="71" customFormat="false" ht="15" hidden="false" customHeight="false" outlineLevel="0" collapsed="false">
      <c r="A71" s="12" t="n">
        <v>70</v>
      </c>
      <c r="B71" s="13" t="s">
        <v>266</v>
      </c>
      <c r="C71" s="10" t="s">
        <v>367</v>
      </c>
      <c r="D71" s="14" t="s">
        <v>68</v>
      </c>
      <c r="E71" s="14" t="s">
        <v>68</v>
      </c>
      <c r="F71" s="15" t="n">
        <f aca="false">MAX(IFERROR(INDEX(Stations!$B$2:$B$31,MATCH(D71,Stations!$A$2:$A$31,0)),0),IFERROR(INDEX(Stations!$B$2:$B$31,MATCH(E71,Stations!$A$2:$A$31,0)),0))</f>
        <v>2</v>
      </c>
      <c r="G71" s="16" t="n">
        <v>10</v>
      </c>
      <c r="H71" s="16" t="n">
        <v>0</v>
      </c>
      <c r="I71" s="16" t="n">
        <v>18</v>
      </c>
      <c r="J71" s="16" t="n">
        <v>1000</v>
      </c>
      <c r="K71" s="14" t="s">
        <v>128</v>
      </c>
      <c r="L71" s="14" t="s">
        <v>147</v>
      </c>
      <c r="M71" s="14" t="s">
        <v>239</v>
      </c>
      <c r="N71" s="16" t="n">
        <v>5</v>
      </c>
      <c r="O71" s="16" t="s">
        <v>226</v>
      </c>
      <c r="P71" s="12" t="n">
        <f aca="false">INDEX(Scale!$B$16:$B$26,MATCH(K71,Scale!$A$16:$A$26,0))</f>
        <v>6.3</v>
      </c>
      <c r="Q71" s="15" t="n">
        <f aca="false">I71/3+J71/350</f>
        <v>8.85714285714286</v>
      </c>
      <c r="R71" s="15" t="n">
        <f aca="false">I71/4.2+J71/500</f>
        <v>6.28571428571429</v>
      </c>
      <c r="S71" s="15" t="n">
        <f aca="false">2*F71+2*G71/60+2*H71/60+Q71+1</f>
        <v>14.1904761904762</v>
      </c>
      <c r="T71" s="15" t="n">
        <f aca="false">I71+J71/100</f>
        <v>28</v>
      </c>
      <c r="U71" s="12" t="n">
        <f aca="false">INDEX(Scale!$B$3:$B$12,MATCH(T71,Scale!$A$3:$A$12,1))</f>
        <v>7</v>
      </c>
      <c r="V71" s="12" t="n">
        <f aca="false">INDEX(Scale!$B$30:$B$38,MATCH(L71,Scale!$A$30:$A$38,0))</f>
        <v>0</v>
      </c>
      <c r="W71" s="17" t="n">
        <f aca="false">MAX(U71,V71)</f>
        <v>7</v>
      </c>
      <c r="X71" s="12" t="n">
        <f aca="false">IF(W71&lt;=3,1,IF(W71&lt;=5,2,IF(W71&lt;=7,3,IF(W71&lt;=8,4,5))))</f>
        <v>3</v>
      </c>
      <c r="Y71" s="13" t="str">
        <f aca="false">IF(S71&lt;=13,"1 day",IF(S71&lt;=15,"1 long day","2 days"))</f>
        <v>1 long day</v>
      </c>
      <c r="Z71" s="12" t="n">
        <f aca="false">ROUND(P71*130*Q71,-1)</f>
        <v>7250</v>
      </c>
      <c r="AA71" s="12" t="n">
        <f aca="false">ROUND(P71*120*Q71,-1)</f>
        <v>6700</v>
      </c>
      <c r="AB71" s="12" t="n">
        <f aca="false">ROUND(P71*110*Q71,-1)</f>
        <v>6140</v>
      </c>
      <c r="AC71" s="12" t="n">
        <f aca="false">ROUND(P71*100*Q71,-1)</f>
        <v>5580</v>
      </c>
      <c r="AD71" s="10" t="s">
        <v>368</v>
      </c>
      <c r="AE71" s="16"/>
      <c r="AF71" s="16"/>
      <c r="AG71" s="16"/>
    </row>
    <row r="72" customFormat="false" ht="15" hidden="false" customHeight="false" outlineLevel="0" collapsed="false">
      <c r="A72" s="12" t="n">
        <v>71</v>
      </c>
      <c r="B72" s="13" t="s">
        <v>266</v>
      </c>
      <c r="C72" s="10" t="s">
        <v>369</v>
      </c>
      <c r="D72" s="14" t="s">
        <v>68</v>
      </c>
      <c r="E72" s="14" t="s">
        <v>68</v>
      </c>
      <c r="F72" s="15" t="n">
        <f aca="false">MAX(IFERROR(INDEX(Stations!$B$2:$B$31,MATCH(D72,Stations!$A$2:$A$31,0)),0),IFERROR(INDEX(Stations!$B$2:$B$31,MATCH(E72,Stations!$A$2:$A$31,0)),0))</f>
        <v>2</v>
      </c>
      <c r="G72" s="16" t="n">
        <v>10</v>
      </c>
      <c r="H72" s="16" t="n">
        <v>0</v>
      </c>
      <c r="I72" s="16" t="n">
        <v>8</v>
      </c>
      <c r="J72" s="16" t="n">
        <v>350</v>
      </c>
      <c r="K72" s="14" t="s">
        <v>126</v>
      </c>
      <c r="L72" s="14" t="s">
        <v>147</v>
      </c>
      <c r="M72" s="14" t="s">
        <v>220</v>
      </c>
      <c r="N72" s="16" t="n">
        <v>5</v>
      </c>
      <c r="O72" s="16" t="s">
        <v>252</v>
      </c>
      <c r="P72" s="12" t="n">
        <f aca="false">INDEX(Scale!$B$16:$B$26,MATCH(K72,Scale!$A$16:$A$26,0))</f>
        <v>5.5</v>
      </c>
      <c r="Q72" s="15" t="n">
        <f aca="false">I72/3+J72/350</f>
        <v>3.66666666666667</v>
      </c>
      <c r="R72" s="15" t="n">
        <f aca="false">I72/4.2+J72/500</f>
        <v>2.6047619047619</v>
      </c>
      <c r="S72" s="15" t="n">
        <f aca="false">2*F72+2*G72/60+2*H72/60+Q72+1</f>
        <v>9</v>
      </c>
      <c r="T72" s="15" t="n">
        <f aca="false">I72+J72/100</f>
        <v>11.5</v>
      </c>
      <c r="U72" s="12" t="n">
        <f aca="false">INDEX(Scale!$B$3:$B$12,MATCH(T72,Scale!$A$3:$A$12,1))</f>
        <v>3</v>
      </c>
      <c r="V72" s="12" t="n">
        <f aca="false">INDEX(Scale!$B$30:$B$38,MATCH(L72,Scale!$A$30:$A$38,0))</f>
        <v>0</v>
      </c>
      <c r="W72" s="17" t="n">
        <f aca="false">MAX(U72,V72)</f>
        <v>3</v>
      </c>
      <c r="X72" s="12" t="n">
        <f aca="false">IF(W72&lt;=3,1,IF(W72&lt;=5,2,IF(W72&lt;=7,3,IF(W72&lt;=8,4,5))))</f>
        <v>1</v>
      </c>
      <c r="Y72" s="13" t="str">
        <f aca="false">IF(S72&lt;=13,"1 day",IF(S72&lt;=15,"1 long day","2 days"))</f>
        <v>1 day</v>
      </c>
      <c r="Z72" s="12" t="n">
        <f aca="false">ROUND(P72*130*Q72,-1)</f>
        <v>2620</v>
      </c>
      <c r="AA72" s="12" t="n">
        <f aca="false">ROUND(P72*120*Q72,-1)</f>
        <v>2420</v>
      </c>
      <c r="AB72" s="12" t="n">
        <f aca="false">ROUND(P72*110*Q72,-1)</f>
        <v>2220</v>
      </c>
      <c r="AC72" s="12" t="n">
        <f aca="false">ROUND(P72*100*Q72,-1)</f>
        <v>2020</v>
      </c>
      <c r="AD72" s="10" t="s">
        <v>370</v>
      </c>
      <c r="AE72" s="16"/>
      <c r="AF72" s="16"/>
      <c r="AG72" s="16"/>
    </row>
    <row r="73" customFormat="false" ht="15" hidden="false" customHeight="false" outlineLevel="0" collapsed="false">
      <c r="A73" s="12" t="n">
        <v>72</v>
      </c>
      <c r="B73" s="13" t="s">
        <v>371</v>
      </c>
      <c r="C73" s="10" t="s">
        <v>372</v>
      </c>
      <c r="D73" s="14" t="s">
        <v>69</v>
      </c>
      <c r="E73" s="14" t="s">
        <v>69</v>
      </c>
      <c r="F73" s="15" t="n">
        <f aca="false">MAX(IFERROR(INDEX(Stations!$B$2:$B$31,MATCH(D73,Stations!$A$2:$A$31,0)),0),IFERROR(INDEX(Stations!$B$2:$B$31,MATCH(E73,Stations!$A$2:$A$31,0)),0))</f>
        <v>2.2</v>
      </c>
      <c r="G73" s="16" t="n">
        <v>25</v>
      </c>
      <c r="H73" s="16" t="n">
        <v>0</v>
      </c>
      <c r="I73" s="16" t="n">
        <v>8</v>
      </c>
      <c r="J73" s="16" t="n">
        <v>400</v>
      </c>
      <c r="K73" s="14" t="s">
        <v>126</v>
      </c>
      <c r="L73" s="14" t="s">
        <v>147</v>
      </c>
      <c r="M73" s="14" t="s">
        <v>234</v>
      </c>
      <c r="N73" s="16" t="n">
        <v>3</v>
      </c>
      <c r="O73" s="16" t="s">
        <v>221</v>
      </c>
      <c r="P73" s="12" t="n">
        <f aca="false">INDEX(Scale!$B$16:$B$26,MATCH(K73,Scale!$A$16:$A$26,0))</f>
        <v>5.5</v>
      </c>
      <c r="Q73" s="15" t="n">
        <f aca="false">I73/3+J73/350</f>
        <v>3.80952380952381</v>
      </c>
      <c r="R73" s="15" t="n">
        <f aca="false">I73/4.2+J73/500</f>
        <v>2.70476190476191</v>
      </c>
      <c r="S73" s="15" t="n">
        <f aca="false">2*F73+2*G73/60+2*H73/60+Q73+1</f>
        <v>10.0428571428571</v>
      </c>
      <c r="T73" s="15" t="n">
        <f aca="false">I73+J73/100</f>
        <v>12</v>
      </c>
      <c r="U73" s="12" t="n">
        <f aca="false">INDEX(Scale!$B$3:$B$12,MATCH(T73,Scale!$A$3:$A$12,1))</f>
        <v>4</v>
      </c>
      <c r="V73" s="12" t="n">
        <f aca="false">INDEX(Scale!$B$30:$B$38,MATCH(L73,Scale!$A$30:$A$38,0))</f>
        <v>0</v>
      </c>
      <c r="W73" s="17" t="n">
        <f aca="false">MAX(U73,V73)</f>
        <v>4</v>
      </c>
      <c r="X73" s="12" t="n">
        <f aca="false">IF(W73&lt;=3,1,IF(W73&lt;=5,2,IF(W73&lt;=7,3,IF(W73&lt;=8,4,5))))</f>
        <v>2</v>
      </c>
      <c r="Y73" s="13" t="str">
        <f aca="false">IF(S73&lt;=13,"1 day",IF(S73&lt;=15,"1 long day","2 days"))</f>
        <v>1 day</v>
      </c>
      <c r="Z73" s="12" t="n">
        <f aca="false">ROUND(P73*130*Q73,-1)</f>
        <v>2720</v>
      </c>
      <c r="AA73" s="12" t="n">
        <f aca="false">ROUND(P73*120*Q73,-1)</f>
        <v>2510</v>
      </c>
      <c r="AB73" s="12" t="n">
        <f aca="false">ROUND(P73*110*Q73,-1)</f>
        <v>2300</v>
      </c>
      <c r="AC73" s="12" t="n">
        <f aca="false">ROUND(P73*100*Q73,-1)</f>
        <v>2100</v>
      </c>
      <c r="AD73" s="10" t="s">
        <v>373</v>
      </c>
      <c r="AE73" s="16"/>
      <c r="AF73" s="16"/>
      <c r="AG73" s="16"/>
    </row>
    <row r="74" customFormat="false" ht="15" hidden="false" customHeight="false" outlineLevel="0" collapsed="false">
      <c r="A74" s="12" t="n">
        <v>73</v>
      </c>
      <c r="B74" s="13" t="s">
        <v>371</v>
      </c>
      <c r="C74" s="10" t="s">
        <v>374</v>
      </c>
      <c r="D74" s="14" t="s">
        <v>69</v>
      </c>
      <c r="E74" s="14" t="s">
        <v>69</v>
      </c>
      <c r="F74" s="15" t="n">
        <f aca="false">MAX(IFERROR(INDEX(Stations!$B$2:$B$31,MATCH(D74,Stations!$A$2:$A$31,0)),0),IFERROR(INDEX(Stations!$B$2:$B$31,MATCH(E74,Stations!$A$2:$A$31,0)),0))</f>
        <v>2.2</v>
      </c>
      <c r="G74" s="16" t="n">
        <v>25</v>
      </c>
      <c r="H74" s="16" t="n">
        <v>0</v>
      </c>
      <c r="I74" s="16" t="n">
        <v>10</v>
      </c>
      <c r="J74" s="16" t="n">
        <v>600</v>
      </c>
      <c r="K74" s="14" t="s">
        <v>134</v>
      </c>
      <c r="L74" s="14" t="s">
        <v>134</v>
      </c>
      <c r="M74" s="14" t="s">
        <v>234</v>
      </c>
      <c r="N74" s="16" t="n">
        <v>1</v>
      </c>
      <c r="O74" s="16" t="s">
        <v>221</v>
      </c>
      <c r="P74" s="12" t="n">
        <f aca="false">INDEX(Scale!$B$16:$B$26,MATCH(K74,Scale!$A$16:$A$26,0))</f>
        <v>7</v>
      </c>
      <c r="Q74" s="15" t="n">
        <f aca="false">I74/3+J74/350</f>
        <v>5.04761904761905</v>
      </c>
      <c r="R74" s="15" t="n">
        <f aca="false">I74/4.2+J74/500</f>
        <v>3.58095238095238</v>
      </c>
      <c r="S74" s="15" t="n">
        <f aca="false">2*F74+2*G74/60+2*H74/60+Q74+1</f>
        <v>11.2809523809524</v>
      </c>
      <c r="T74" s="15" t="n">
        <f aca="false">I74+J74/100</f>
        <v>16</v>
      </c>
      <c r="U74" s="12" t="n">
        <f aca="false">INDEX(Scale!$B$3:$B$12,MATCH(T74,Scale!$A$3:$A$12,1))</f>
        <v>5</v>
      </c>
      <c r="V74" s="12" t="n">
        <f aca="false">INDEX(Scale!$B$30:$B$38,MATCH(L74,Scale!$A$30:$A$38,0))</f>
        <v>4</v>
      </c>
      <c r="W74" s="17" t="n">
        <f aca="false">MAX(U74,V74)</f>
        <v>5</v>
      </c>
      <c r="X74" s="12" t="n">
        <f aca="false">IF(W74&lt;=3,1,IF(W74&lt;=5,2,IF(W74&lt;=7,3,IF(W74&lt;=8,4,5))))</f>
        <v>2</v>
      </c>
      <c r="Y74" s="13" t="str">
        <f aca="false">IF(S74&lt;=13,"1 day",IF(S74&lt;=15,"1 long day","2 days"))</f>
        <v>1 day</v>
      </c>
      <c r="Z74" s="12" t="n">
        <f aca="false">ROUND(P74*130*Q74,-1)</f>
        <v>4590</v>
      </c>
      <c r="AA74" s="12" t="n">
        <f aca="false">ROUND(P74*120*Q74,-1)</f>
        <v>4240</v>
      </c>
      <c r="AB74" s="12" t="n">
        <f aca="false">ROUND(P74*110*Q74,-1)</f>
        <v>3890</v>
      </c>
      <c r="AC74" s="12" t="n">
        <f aca="false">ROUND(P74*100*Q74,-1)</f>
        <v>3530</v>
      </c>
      <c r="AD74" s="10" t="s">
        <v>375</v>
      </c>
      <c r="AE74" s="16"/>
      <c r="AF74" s="16"/>
      <c r="AG74" s="16"/>
    </row>
    <row r="75" customFormat="false" ht="15" hidden="false" customHeight="false" outlineLevel="0" collapsed="false">
      <c r="A75" s="12" t="n">
        <v>74</v>
      </c>
      <c r="B75" s="13" t="s">
        <v>371</v>
      </c>
      <c r="C75" s="10" t="s">
        <v>376</v>
      </c>
      <c r="D75" s="14" t="s">
        <v>69</v>
      </c>
      <c r="E75" s="14" t="s">
        <v>69</v>
      </c>
      <c r="F75" s="15" t="n">
        <f aca="false">MAX(IFERROR(INDEX(Stations!$B$2:$B$31,MATCH(D75,Stations!$A$2:$A$31,0)),0),IFERROR(INDEX(Stations!$B$2:$B$31,MATCH(E75,Stations!$A$2:$A$31,0)),0))</f>
        <v>2.2</v>
      </c>
      <c r="G75" s="16" t="n">
        <v>25</v>
      </c>
      <c r="H75" s="16" t="n">
        <v>0</v>
      </c>
      <c r="I75" s="16" t="n">
        <v>12</v>
      </c>
      <c r="J75" s="16" t="n">
        <v>800</v>
      </c>
      <c r="K75" s="14" t="s">
        <v>134</v>
      </c>
      <c r="L75" s="14" t="s">
        <v>134</v>
      </c>
      <c r="M75" s="14" t="s">
        <v>234</v>
      </c>
      <c r="N75" s="16" t="n">
        <v>2</v>
      </c>
      <c r="O75" s="16" t="s">
        <v>221</v>
      </c>
      <c r="P75" s="12" t="n">
        <f aca="false">INDEX(Scale!$B$16:$B$26,MATCH(K75,Scale!$A$16:$A$26,0))</f>
        <v>7</v>
      </c>
      <c r="Q75" s="15" t="n">
        <f aca="false">I75/3+J75/350</f>
        <v>6.28571428571429</v>
      </c>
      <c r="R75" s="15" t="n">
        <f aca="false">I75/4.2+J75/500</f>
        <v>4.45714285714286</v>
      </c>
      <c r="S75" s="15" t="n">
        <f aca="false">2*F75+2*G75/60+2*H75/60+Q75+1</f>
        <v>12.5190476190476</v>
      </c>
      <c r="T75" s="15" t="n">
        <f aca="false">I75+J75/100</f>
        <v>20</v>
      </c>
      <c r="U75" s="12" t="n">
        <f aca="false">INDEX(Scale!$B$3:$B$12,MATCH(T75,Scale!$A$3:$A$12,1))</f>
        <v>5</v>
      </c>
      <c r="V75" s="12" t="n">
        <f aca="false">INDEX(Scale!$B$30:$B$38,MATCH(L75,Scale!$A$30:$A$38,0))</f>
        <v>4</v>
      </c>
      <c r="W75" s="17" t="n">
        <f aca="false">MAX(U75,V75)</f>
        <v>5</v>
      </c>
      <c r="X75" s="12" t="n">
        <f aca="false">IF(W75&lt;=3,1,IF(W75&lt;=5,2,IF(W75&lt;=7,3,IF(W75&lt;=8,4,5))))</f>
        <v>2</v>
      </c>
      <c r="Y75" s="13" t="str">
        <f aca="false">IF(S75&lt;=13,"1 day",IF(S75&lt;=15,"1 long day","2 days"))</f>
        <v>1 day</v>
      </c>
      <c r="Z75" s="12" t="n">
        <f aca="false">ROUND(P75*130*Q75,-1)</f>
        <v>5720</v>
      </c>
      <c r="AA75" s="12" t="n">
        <f aca="false">ROUND(P75*120*Q75,-1)</f>
        <v>5280</v>
      </c>
      <c r="AB75" s="12" t="n">
        <f aca="false">ROUND(P75*110*Q75,-1)</f>
        <v>4840</v>
      </c>
      <c r="AC75" s="12" t="n">
        <f aca="false">ROUND(P75*100*Q75,-1)</f>
        <v>4400</v>
      </c>
      <c r="AD75" s="10" t="s">
        <v>377</v>
      </c>
      <c r="AE75" s="16"/>
      <c r="AF75" s="16"/>
      <c r="AG75" s="16"/>
    </row>
    <row r="76" customFormat="false" ht="15" hidden="false" customHeight="false" outlineLevel="0" collapsed="false">
      <c r="A76" s="12" t="n">
        <v>75</v>
      </c>
      <c r="B76" s="13" t="s">
        <v>371</v>
      </c>
      <c r="C76" s="10" t="s">
        <v>378</v>
      </c>
      <c r="D76" s="14" t="s">
        <v>69</v>
      </c>
      <c r="E76" s="14" t="s">
        <v>69</v>
      </c>
      <c r="F76" s="15" t="n">
        <f aca="false">MAX(IFERROR(INDEX(Stations!$B$2:$B$31,MATCH(D76,Stations!$A$2:$A$31,0)),0),IFERROR(INDEX(Stations!$B$2:$B$31,MATCH(E76,Stations!$A$2:$A$31,0)),0))</f>
        <v>2.2</v>
      </c>
      <c r="G76" s="16" t="n">
        <v>25</v>
      </c>
      <c r="H76" s="16" t="n">
        <v>0</v>
      </c>
      <c r="I76" s="16" t="n">
        <v>15</v>
      </c>
      <c r="J76" s="16" t="n">
        <v>1050</v>
      </c>
      <c r="K76" s="14" t="s">
        <v>130</v>
      </c>
      <c r="L76" s="14" t="s">
        <v>149</v>
      </c>
      <c r="M76" s="14" t="s">
        <v>239</v>
      </c>
      <c r="N76" s="16" t="n">
        <v>3</v>
      </c>
      <c r="O76" s="16" t="s">
        <v>221</v>
      </c>
      <c r="P76" s="12" t="n">
        <f aca="false">INDEX(Scale!$B$16:$B$26,MATCH(K76,Scale!$A$16:$A$26,0))</f>
        <v>7</v>
      </c>
      <c r="Q76" s="15" t="n">
        <f aca="false">I76/3+J76/350</f>
        <v>8</v>
      </c>
      <c r="R76" s="15" t="n">
        <f aca="false">I76/4.2+J76/500</f>
        <v>5.67142857142857</v>
      </c>
      <c r="S76" s="15" t="n">
        <f aca="false">2*F76+2*G76/60+2*H76/60+Q76+1</f>
        <v>14.2333333333333</v>
      </c>
      <c r="T76" s="15" t="n">
        <f aca="false">I76+J76/100</f>
        <v>25.5</v>
      </c>
      <c r="U76" s="12" t="n">
        <f aca="false">INDEX(Scale!$B$3:$B$12,MATCH(T76,Scale!$A$3:$A$12,1))</f>
        <v>6</v>
      </c>
      <c r="V76" s="12" t="n">
        <f aca="false">INDEX(Scale!$B$30:$B$38,MATCH(L76,Scale!$A$30:$A$38,0))</f>
        <v>3</v>
      </c>
      <c r="W76" s="17" t="n">
        <f aca="false">MAX(U76,V76)</f>
        <v>6</v>
      </c>
      <c r="X76" s="12" t="n">
        <f aca="false">IF(W76&lt;=3,1,IF(W76&lt;=5,2,IF(W76&lt;=7,3,IF(W76&lt;=8,4,5))))</f>
        <v>3</v>
      </c>
      <c r="Y76" s="13" t="str">
        <f aca="false">IF(S76&lt;=13,"1 day",IF(S76&lt;=15,"1 long day","2 days"))</f>
        <v>1 long day</v>
      </c>
      <c r="Z76" s="12" t="n">
        <f aca="false">ROUND(P76*130*Q76,-1)</f>
        <v>7280</v>
      </c>
      <c r="AA76" s="12" t="n">
        <f aca="false">ROUND(P76*120*Q76,-1)</f>
        <v>6720</v>
      </c>
      <c r="AB76" s="12" t="n">
        <f aca="false">ROUND(P76*110*Q76,-1)</f>
        <v>6160</v>
      </c>
      <c r="AC76" s="12" t="n">
        <f aca="false">ROUND(P76*100*Q76,-1)</f>
        <v>5600</v>
      </c>
      <c r="AD76" s="10" t="s">
        <v>379</v>
      </c>
      <c r="AE76" s="16"/>
      <c r="AF76" s="16"/>
      <c r="AG76" s="16"/>
    </row>
    <row r="77" customFormat="false" ht="15" hidden="false" customHeight="false" outlineLevel="0" collapsed="false">
      <c r="A77" s="12" t="n">
        <v>76</v>
      </c>
      <c r="B77" s="13" t="s">
        <v>371</v>
      </c>
      <c r="C77" s="10" t="s">
        <v>380</v>
      </c>
      <c r="D77" s="14" t="s">
        <v>69</v>
      </c>
      <c r="E77" s="14" t="s">
        <v>69</v>
      </c>
      <c r="F77" s="15" t="n">
        <f aca="false">MAX(IFERROR(INDEX(Stations!$B$2:$B$31,MATCH(D77,Stations!$A$2:$A$31,0)),0),IFERROR(INDEX(Stations!$B$2:$B$31,MATCH(E77,Stations!$A$2:$A$31,0)),0))</f>
        <v>2.2</v>
      </c>
      <c r="G77" s="16" t="n">
        <v>25</v>
      </c>
      <c r="H77" s="16" t="n">
        <v>0</v>
      </c>
      <c r="I77" s="16" t="n">
        <v>14</v>
      </c>
      <c r="J77" s="16" t="n">
        <v>950</v>
      </c>
      <c r="K77" s="14" t="s">
        <v>130</v>
      </c>
      <c r="L77" s="14" t="s">
        <v>149</v>
      </c>
      <c r="M77" s="14" t="s">
        <v>239</v>
      </c>
      <c r="N77" s="16" t="n">
        <v>4</v>
      </c>
      <c r="O77" s="16" t="s">
        <v>226</v>
      </c>
      <c r="P77" s="12" t="n">
        <f aca="false">INDEX(Scale!$B$16:$B$26,MATCH(K77,Scale!$A$16:$A$26,0))</f>
        <v>7</v>
      </c>
      <c r="Q77" s="15" t="n">
        <f aca="false">I77/3+J77/350</f>
        <v>7.38095238095238</v>
      </c>
      <c r="R77" s="15" t="n">
        <f aca="false">I77/4.2+J77/500</f>
        <v>5.23333333333333</v>
      </c>
      <c r="S77" s="15" t="n">
        <f aca="false">2*F77+2*G77/60+2*H77/60+Q77+1</f>
        <v>13.6142857142857</v>
      </c>
      <c r="T77" s="15" t="n">
        <f aca="false">I77+J77/100</f>
        <v>23.5</v>
      </c>
      <c r="U77" s="12" t="n">
        <f aca="false">INDEX(Scale!$B$3:$B$12,MATCH(T77,Scale!$A$3:$A$12,1))</f>
        <v>6</v>
      </c>
      <c r="V77" s="12" t="n">
        <f aca="false">INDEX(Scale!$B$30:$B$38,MATCH(L77,Scale!$A$30:$A$38,0))</f>
        <v>3</v>
      </c>
      <c r="W77" s="17" t="n">
        <f aca="false">MAX(U77,V77)</f>
        <v>6</v>
      </c>
      <c r="X77" s="12" t="n">
        <f aca="false">IF(W77&lt;=3,1,IF(W77&lt;=5,2,IF(W77&lt;=7,3,IF(W77&lt;=8,4,5))))</f>
        <v>3</v>
      </c>
      <c r="Y77" s="13" t="str">
        <f aca="false">IF(S77&lt;=13,"1 day",IF(S77&lt;=15,"1 long day","2 days"))</f>
        <v>1 long day</v>
      </c>
      <c r="Z77" s="12" t="n">
        <f aca="false">ROUND(P77*130*Q77,-1)</f>
        <v>6720</v>
      </c>
      <c r="AA77" s="12" t="n">
        <f aca="false">ROUND(P77*120*Q77,-1)</f>
        <v>6200</v>
      </c>
      <c r="AB77" s="12" t="n">
        <f aca="false">ROUND(P77*110*Q77,-1)</f>
        <v>5680</v>
      </c>
      <c r="AC77" s="12" t="n">
        <f aca="false">ROUND(P77*100*Q77,-1)</f>
        <v>5170</v>
      </c>
      <c r="AD77" s="10" t="s">
        <v>381</v>
      </c>
      <c r="AE77" s="16"/>
      <c r="AF77" s="16"/>
      <c r="AG77" s="16"/>
    </row>
    <row r="78" customFormat="false" ht="15" hidden="false" customHeight="false" outlineLevel="0" collapsed="false">
      <c r="A78" s="12" t="n">
        <v>77</v>
      </c>
      <c r="B78" s="13" t="s">
        <v>371</v>
      </c>
      <c r="C78" s="10" t="s">
        <v>382</v>
      </c>
      <c r="D78" s="14" t="s">
        <v>69</v>
      </c>
      <c r="E78" s="14" t="s">
        <v>71</v>
      </c>
      <c r="F78" s="15" t="n">
        <f aca="false">MAX(IFERROR(INDEX(Stations!$B$2:$B$31,MATCH(D78,Stations!$A$2:$A$31,0)),0),IFERROR(INDEX(Stations!$B$2:$B$31,MATCH(E78,Stations!$A$2:$A$31,0)),0))</f>
        <v>2.4</v>
      </c>
      <c r="G78" s="16" t="n">
        <v>25</v>
      </c>
      <c r="H78" s="16" t="n">
        <v>0</v>
      </c>
      <c r="I78" s="16" t="n">
        <v>18</v>
      </c>
      <c r="J78" s="16" t="n">
        <v>1100</v>
      </c>
      <c r="K78" s="14" t="s">
        <v>130</v>
      </c>
      <c r="L78" s="14" t="s">
        <v>149</v>
      </c>
      <c r="M78" s="14" t="s">
        <v>239</v>
      </c>
      <c r="N78" s="16" t="n">
        <v>4</v>
      </c>
      <c r="O78" s="16" t="s">
        <v>226</v>
      </c>
      <c r="P78" s="12" t="n">
        <f aca="false">INDEX(Scale!$B$16:$B$26,MATCH(K78,Scale!$A$16:$A$26,0))</f>
        <v>7</v>
      </c>
      <c r="Q78" s="15" t="n">
        <f aca="false">I78/3+J78/350</f>
        <v>9.14285714285714</v>
      </c>
      <c r="R78" s="15" t="n">
        <f aca="false">I78/4.2+J78/500</f>
        <v>6.48571428571429</v>
      </c>
      <c r="S78" s="15" t="n">
        <f aca="false">2*F78+2*G78/60+2*H78/60+Q78+1</f>
        <v>15.7761904761905</v>
      </c>
      <c r="T78" s="15" t="n">
        <f aca="false">I78+J78/100</f>
        <v>29</v>
      </c>
      <c r="U78" s="12" t="n">
        <f aca="false">INDEX(Scale!$B$3:$B$12,MATCH(T78,Scale!$A$3:$A$12,1))</f>
        <v>7</v>
      </c>
      <c r="V78" s="12" t="n">
        <f aca="false">INDEX(Scale!$B$30:$B$38,MATCH(L78,Scale!$A$30:$A$38,0))</f>
        <v>3</v>
      </c>
      <c r="W78" s="17" t="n">
        <f aca="false">MAX(U78,V78)</f>
        <v>7</v>
      </c>
      <c r="X78" s="12" t="n">
        <f aca="false">IF(W78&lt;=3,1,IF(W78&lt;=5,2,IF(W78&lt;=7,3,IF(W78&lt;=8,4,5))))</f>
        <v>3</v>
      </c>
      <c r="Y78" s="13" t="str">
        <f aca="false">IF(S78&lt;=13,"1 day",IF(S78&lt;=15,"1 long day","2 days"))</f>
        <v>2 days</v>
      </c>
      <c r="Z78" s="12" t="n">
        <f aca="false">ROUND(P78*130*Q78,-1)</f>
        <v>8320</v>
      </c>
      <c r="AA78" s="12" t="n">
        <f aca="false">ROUND(P78*120*Q78,-1)</f>
        <v>7680</v>
      </c>
      <c r="AB78" s="12" t="n">
        <f aca="false">ROUND(P78*110*Q78,-1)</f>
        <v>7040</v>
      </c>
      <c r="AC78" s="12" t="n">
        <f aca="false">ROUND(P78*100*Q78,-1)</f>
        <v>6400</v>
      </c>
      <c r="AD78" s="10" t="s">
        <v>383</v>
      </c>
      <c r="AE78" s="16"/>
      <c r="AF78" s="16"/>
      <c r="AG78" s="16"/>
    </row>
    <row r="79" customFormat="false" ht="15" hidden="false" customHeight="false" outlineLevel="0" collapsed="false">
      <c r="A79" s="12" t="n">
        <v>78</v>
      </c>
      <c r="B79" s="13" t="s">
        <v>371</v>
      </c>
      <c r="C79" s="10" t="s">
        <v>384</v>
      </c>
      <c r="D79" s="14" t="s">
        <v>69</v>
      </c>
      <c r="E79" s="14" t="s">
        <v>69</v>
      </c>
      <c r="F79" s="15" t="n">
        <f aca="false">MAX(IFERROR(INDEX(Stations!$B$2:$B$31,MATCH(D79,Stations!$A$2:$A$31,0)),0),IFERROR(INDEX(Stations!$B$2:$B$31,MATCH(E79,Stations!$A$2:$A$31,0)),0))</f>
        <v>2.2</v>
      </c>
      <c r="G79" s="16" t="n">
        <v>5</v>
      </c>
      <c r="H79" s="16" t="n">
        <v>0</v>
      </c>
      <c r="I79" s="16" t="n">
        <v>8</v>
      </c>
      <c r="J79" s="16" t="n">
        <v>300</v>
      </c>
      <c r="K79" s="14" t="s">
        <v>126</v>
      </c>
      <c r="L79" s="14" t="s">
        <v>147</v>
      </c>
      <c r="M79" s="14" t="s">
        <v>220</v>
      </c>
      <c r="N79" s="16" t="n">
        <v>5</v>
      </c>
      <c r="O79" s="16" t="s">
        <v>226</v>
      </c>
      <c r="P79" s="12" t="n">
        <f aca="false">INDEX(Scale!$B$16:$B$26,MATCH(K79,Scale!$A$16:$A$26,0))</f>
        <v>5.5</v>
      </c>
      <c r="Q79" s="15" t="n">
        <f aca="false">I79/3+J79/350</f>
        <v>3.52380952380952</v>
      </c>
      <c r="R79" s="15" t="n">
        <f aca="false">I79/4.2+J79/500</f>
        <v>2.5047619047619</v>
      </c>
      <c r="S79" s="15" t="n">
        <f aca="false">2*F79+2*G79/60+2*H79/60+Q79+1</f>
        <v>9.09047619047619</v>
      </c>
      <c r="T79" s="15" t="n">
        <f aca="false">I79+J79/100</f>
        <v>11</v>
      </c>
      <c r="U79" s="12" t="n">
        <f aca="false">INDEX(Scale!$B$3:$B$12,MATCH(T79,Scale!$A$3:$A$12,1))</f>
        <v>3</v>
      </c>
      <c r="V79" s="12" t="n">
        <f aca="false">INDEX(Scale!$B$30:$B$38,MATCH(L79,Scale!$A$30:$A$38,0))</f>
        <v>0</v>
      </c>
      <c r="W79" s="17" t="n">
        <f aca="false">MAX(U79,V79)</f>
        <v>3</v>
      </c>
      <c r="X79" s="12" t="n">
        <f aca="false">IF(W79&lt;=3,1,IF(W79&lt;=5,2,IF(W79&lt;=7,3,IF(W79&lt;=8,4,5))))</f>
        <v>1</v>
      </c>
      <c r="Y79" s="13" t="str">
        <f aca="false">IF(S79&lt;=13,"1 day",IF(S79&lt;=15,"1 long day","2 days"))</f>
        <v>1 day</v>
      </c>
      <c r="Z79" s="12" t="n">
        <f aca="false">ROUND(P79*130*Q79,-1)</f>
        <v>2520</v>
      </c>
      <c r="AA79" s="12" t="n">
        <f aca="false">ROUND(P79*120*Q79,-1)</f>
        <v>2330</v>
      </c>
      <c r="AB79" s="12" t="n">
        <f aca="false">ROUND(P79*110*Q79,-1)</f>
        <v>2130</v>
      </c>
      <c r="AC79" s="12" t="n">
        <f aca="false">ROUND(P79*100*Q79,-1)</f>
        <v>1940</v>
      </c>
      <c r="AD79" s="10" t="s">
        <v>385</v>
      </c>
      <c r="AE79" s="16"/>
      <c r="AF79" s="16"/>
      <c r="AG79" s="16"/>
    </row>
    <row r="80" customFormat="false" ht="15" hidden="false" customHeight="false" outlineLevel="0" collapsed="false">
      <c r="A80" s="12" t="n">
        <v>79</v>
      </c>
      <c r="B80" s="13" t="s">
        <v>362</v>
      </c>
      <c r="C80" s="10" t="s">
        <v>386</v>
      </c>
      <c r="D80" s="14" t="s">
        <v>70</v>
      </c>
      <c r="E80" s="14" t="s">
        <v>70</v>
      </c>
      <c r="F80" s="15" t="n">
        <f aca="false">MAX(IFERROR(INDEX(Stations!$B$2:$B$31,MATCH(D80,Stations!$A$2:$A$31,0)),0),IFERROR(INDEX(Stations!$B$2:$B$31,MATCH(E80,Stations!$A$2:$A$31,0)),0))</f>
        <v>2.3</v>
      </c>
      <c r="G80" s="16" t="n">
        <v>10</v>
      </c>
      <c r="H80" s="16" t="n">
        <v>0</v>
      </c>
      <c r="I80" s="16" t="n">
        <v>11</v>
      </c>
      <c r="J80" s="16" t="n">
        <v>350</v>
      </c>
      <c r="K80" s="14" t="s">
        <v>128</v>
      </c>
      <c r="L80" s="14" t="s">
        <v>147</v>
      </c>
      <c r="M80" s="14" t="s">
        <v>231</v>
      </c>
      <c r="N80" s="16" t="n">
        <v>3</v>
      </c>
      <c r="O80" s="16" t="s">
        <v>226</v>
      </c>
      <c r="P80" s="12" t="n">
        <f aca="false">INDEX(Scale!$B$16:$B$26,MATCH(K80,Scale!$A$16:$A$26,0))</f>
        <v>6.3</v>
      </c>
      <c r="Q80" s="15" t="n">
        <f aca="false">I80/3+J80/350</f>
        <v>4.66666666666667</v>
      </c>
      <c r="R80" s="15" t="n">
        <f aca="false">I80/4.2+J80/500</f>
        <v>3.31904761904762</v>
      </c>
      <c r="S80" s="15" t="n">
        <f aca="false">2*F80+2*G80/60+2*H80/60+Q80+1</f>
        <v>10.6</v>
      </c>
      <c r="T80" s="15" t="n">
        <f aca="false">I80+J80/100</f>
        <v>14.5</v>
      </c>
      <c r="U80" s="12" t="n">
        <f aca="false">INDEX(Scale!$B$3:$B$12,MATCH(T80,Scale!$A$3:$A$12,1))</f>
        <v>4</v>
      </c>
      <c r="V80" s="12" t="n">
        <f aca="false">INDEX(Scale!$B$30:$B$38,MATCH(L80,Scale!$A$30:$A$38,0))</f>
        <v>0</v>
      </c>
      <c r="W80" s="17" t="n">
        <f aca="false">MAX(U80,V80)</f>
        <v>4</v>
      </c>
      <c r="X80" s="12" t="n">
        <f aca="false">IF(W80&lt;=3,1,IF(W80&lt;=5,2,IF(W80&lt;=7,3,IF(W80&lt;=8,4,5))))</f>
        <v>2</v>
      </c>
      <c r="Y80" s="13" t="str">
        <f aca="false">IF(S80&lt;=13,"1 day",IF(S80&lt;=15,"1 long day","2 days"))</f>
        <v>1 day</v>
      </c>
      <c r="Z80" s="12" t="n">
        <f aca="false">ROUND(P80*130*Q80,-1)</f>
        <v>3820</v>
      </c>
      <c r="AA80" s="12" t="n">
        <f aca="false">ROUND(P80*120*Q80,-1)</f>
        <v>3530</v>
      </c>
      <c r="AB80" s="12" t="n">
        <f aca="false">ROUND(P80*110*Q80,-1)</f>
        <v>3230</v>
      </c>
      <c r="AC80" s="12" t="n">
        <f aca="false">ROUND(P80*100*Q80,-1)</f>
        <v>2940</v>
      </c>
      <c r="AD80" s="10" t="s">
        <v>387</v>
      </c>
      <c r="AE80" s="16"/>
      <c r="AF80" s="16"/>
      <c r="AG80" s="16"/>
    </row>
    <row r="81" customFormat="false" ht="15" hidden="false" customHeight="false" outlineLevel="0" collapsed="false">
      <c r="A81" s="12" t="n">
        <v>80</v>
      </c>
      <c r="B81" s="13" t="s">
        <v>388</v>
      </c>
      <c r="C81" s="10" t="s">
        <v>389</v>
      </c>
      <c r="D81" s="14" t="s">
        <v>70</v>
      </c>
      <c r="E81" s="14" t="s">
        <v>70</v>
      </c>
      <c r="F81" s="15" t="n">
        <f aca="false">MAX(IFERROR(INDEX(Stations!$B$2:$B$31,MATCH(D81,Stations!$A$2:$A$31,0)),0),IFERROR(INDEX(Stations!$B$2:$B$31,MATCH(E81,Stations!$A$2:$A$31,0)),0))</f>
        <v>2.3</v>
      </c>
      <c r="G81" s="16" t="n">
        <v>10</v>
      </c>
      <c r="H81" s="16" t="n">
        <v>0</v>
      </c>
      <c r="I81" s="16" t="n">
        <v>12</v>
      </c>
      <c r="J81" s="16" t="n">
        <v>900</v>
      </c>
      <c r="K81" s="14" t="s">
        <v>128</v>
      </c>
      <c r="L81" s="14" t="s">
        <v>147</v>
      </c>
      <c r="M81" s="14" t="s">
        <v>239</v>
      </c>
      <c r="N81" s="16" t="n">
        <v>4</v>
      </c>
      <c r="O81" s="16" t="s">
        <v>252</v>
      </c>
      <c r="P81" s="12" t="n">
        <f aca="false">INDEX(Scale!$B$16:$B$26,MATCH(K81,Scale!$A$16:$A$26,0))</f>
        <v>6.3</v>
      </c>
      <c r="Q81" s="15" t="n">
        <f aca="false">I81/3+J81/350</f>
        <v>6.57142857142857</v>
      </c>
      <c r="R81" s="15" t="n">
        <f aca="false">I81/4.2+J81/500</f>
        <v>4.65714285714286</v>
      </c>
      <c r="S81" s="15" t="n">
        <f aca="false">2*F81+2*G81/60+2*H81/60+Q81+1</f>
        <v>12.5047619047619</v>
      </c>
      <c r="T81" s="15" t="n">
        <f aca="false">I81+J81/100</f>
        <v>21</v>
      </c>
      <c r="U81" s="12" t="n">
        <f aca="false">INDEX(Scale!$B$3:$B$12,MATCH(T81,Scale!$A$3:$A$12,1))</f>
        <v>6</v>
      </c>
      <c r="V81" s="12" t="n">
        <f aca="false">INDEX(Scale!$B$30:$B$38,MATCH(L81,Scale!$A$30:$A$38,0))</f>
        <v>0</v>
      </c>
      <c r="W81" s="17" t="n">
        <f aca="false">MAX(U81,V81)</f>
        <v>6</v>
      </c>
      <c r="X81" s="12" t="n">
        <f aca="false">IF(W81&lt;=3,1,IF(W81&lt;=5,2,IF(W81&lt;=7,3,IF(W81&lt;=8,4,5))))</f>
        <v>3</v>
      </c>
      <c r="Y81" s="13" t="str">
        <f aca="false">IF(S81&lt;=13,"1 day",IF(S81&lt;=15,"1 long day","2 days"))</f>
        <v>1 day</v>
      </c>
      <c r="Z81" s="12" t="n">
        <f aca="false">ROUND(P81*130*Q81,-1)</f>
        <v>5380</v>
      </c>
      <c r="AA81" s="12" t="n">
        <f aca="false">ROUND(P81*120*Q81,-1)</f>
        <v>4970</v>
      </c>
      <c r="AB81" s="12" t="n">
        <f aca="false">ROUND(P81*110*Q81,-1)</f>
        <v>4550</v>
      </c>
      <c r="AC81" s="12" t="n">
        <f aca="false">ROUND(P81*100*Q81,-1)</f>
        <v>4140</v>
      </c>
      <c r="AD81" s="10" t="s">
        <v>390</v>
      </c>
      <c r="AE81" s="16"/>
      <c r="AF81" s="16"/>
      <c r="AG81" s="16"/>
    </row>
    <row r="82" customFormat="false" ht="15" hidden="false" customHeight="false" outlineLevel="0" collapsed="false">
      <c r="A82" s="12" t="n">
        <v>81</v>
      </c>
      <c r="B82" s="13" t="s">
        <v>388</v>
      </c>
      <c r="C82" s="10" t="s">
        <v>391</v>
      </c>
      <c r="D82" s="14" t="s">
        <v>70</v>
      </c>
      <c r="E82" s="14" t="s">
        <v>70</v>
      </c>
      <c r="F82" s="15" t="n">
        <f aca="false">MAX(IFERROR(INDEX(Stations!$B$2:$B$31,MATCH(D82,Stations!$A$2:$A$31,0)),0),IFERROR(INDEX(Stations!$B$2:$B$31,MATCH(E82,Stations!$A$2:$A$31,0)),0))</f>
        <v>2.3</v>
      </c>
      <c r="G82" s="16" t="n">
        <v>10</v>
      </c>
      <c r="H82" s="16" t="n">
        <v>0</v>
      </c>
      <c r="I82" s="16" t="n">
        <v>14</v>
      </c>
      <c r="J82" s="16" t="n">
        <v>1000</v>
      </c>
      <c r="K82" s="14" t="s">
        <v>130</v>
      </c>
      <c r="L82" s="14" t="s">
        <v>149</v>
      </c>
      <c r="M82" s="14" t="s">
        <v>239</v>
      </c>
      <c r="N82" s="16" t="n">
        <v>4</v>
      </c>
      <c r="O82" s="16" t="s">
        <v>252</v>
      </c>
      <c r="P82" s="12" t="n">
        <f aca="false">INDEX(Scale!$B$16:$B$26,MATCH(K82,Scale!$A$16:$A$26,0))</f>
        <v>7</v>
      </c>
      <c r="Q82" s="15" t="n">
        <f aca="false">I82/3+J82/350</f>
        <v>7.52380952380952</v>
      </c>
      <c r="R82" s="15" t="n">
        <f aca="false">I82/4.2+J82/500</f>
        <v>5.33333333333333</v>
      </c>
      <c r="S82" s="15" t="n">
        <f aca="false">2*F82+2*G82/60+2*H82/60+Q82+1</f>
        <v>13.4571428571429</v>
      </c>
      <c r="T82" s="15" t="n">
        <f aca="false">I82+J82/100</f>
        <v>24</v>
      </c>
      <c r="U82" s="12" t="n">
        <f aca="false">INDEX(Scale!$B$3:$B$12,MATCH(T82,Scale!$A$3:$A$12,1))</f>
        <v>6</v>
      </c>
      <c r="V82" s="12" t="n">
        <f aca="false">INDEX(Scale!$B$30:$B$38,MATCH(L82,Scale!$A$30:$A$38,0))</f>
        <v>3</v>
      </c>
      <c r="W82" s="17" t="n">
        <f aca="false">MAX(U82,V82)</f>
        <v>6</v>
      </c>
      <c r="X82" s="12" t="n">
        <f aca="false">IF(W82&lt;=3,1,IF(W82&lt;=5,2,IF(W82&lt;=7,3,IF(W82&lt;=8,4,5))))</f>
        <v>3</v>
      </c>
      <c r="Y82" s="13" t="str">
        <f aca="false">IF(S82&lt;=13,"1 day",IF(S82&lt;=15,"1 long day","2 days"))</f>
        <v>1 long day</v>
      </c>
      <c r="Z82" s="12" t="n">
        <f aca="false">ROUND(P82*130*Q82,-1)</f>
        <v>6850</v>
      </c>
      <c r="AA82" s="12" t="n">
        <f aca="false">ROUND(P82*120*Q82,-1)</f>
        <v>6320</v>
      </c>
      <c r="AB82" s="12" t="n">
        <f aca="false">ROUND(P82*110*Q82,-1)</f>
        <v>5790</v>
      </c>
      <c r="AC82" s="12" t="n">
        <f aca="false">ROUND(P82*100*Q82,-1)</f>
        <v>5270</v>
      </c>
      <c r="AD82" s="10" t="s">
        <v>392</v>
      </c>
      <c r="AE82" s="16"/>
      <c r="AF82" s="16"/>
      <c r="AG82" s="16"/>
    </row>
    <row r="83" customFormat="false" ht="15" hidden="false" customHeight="false" outlineLevel="0" collapsed="false">
      <c r="A83" s="12" t="n">
        <v>82</v>
      </c>
      <c r="B83" s="13" t="s">
        <v>371</v>
      </c>
      <c r="C83" s="10" t="s">
        <v>393</v>
      </c>
      <c r="D83" s="14" t="s">
        <v>71</v>
      </c>
      <c r="E83" s="14" t="s">
        <v>71</v>
      </c>
      <c r="F83" s="15" t="n">
        <f aca="false">MAX(IFERROR(INDEX(Stations!$B$2:$B$31,MATCH(D83,Stations!$A$2:$A$31,0)),0),IFERROR(INDEX(Stations!$B$2:$B$31,MATCH(E83,Stations!$A$2:$A$31,0)),0))</f>
        <v>2.4</v>
      </c>
      <c r="G83" s="16" t="n">
        <v>10</v>
      </c>
      <c r="H83" s="16" t="n">
        <v>0</v>
      </c>
      <c r="I83" s="16" t="n">
        <v>12</v>
      </c>
      <c r="J83" s="16" t="n">
        <v>950</v>
      </c>
      <c r="K83" s="14" t="s">
        <v>128</v>
      </c>
      <c r="L83" s="14" t="s">
        <v>147</v>
      </c>
      <c r="M83" s="14" t="s">
        <v>239</v>
      </c>
      <c r="N83" s="16" t="n">
        <v>4</v>
      </c>
      <c r="O83" s="16" t="s">
        <v>252</v>
      </c>
      <c r="P83" s="12" t="n">
        <f aca="false">INDEX(Scale!$B$16:$B$26,MATCH(K83,Scale!$A$16:$A$26,0))</f>
        <v>6.3</v>
      </c>
      <c r="Q83" s="15" t="n">
        <f aca="false">I83/3+J83/350</f>
        <v>6.71428571428571</v>
      </c>
      <c r="R83" s="15" t="n">
        <f aca="false">I83/4.2+J83/500</f>
        <v>4.75714285714286</v>
      </c>
      <c r="S83" s="15" t="n">
        <f aca="false">2*F83+2*G83/60+2*H83/60+Q83+1</f>
        <v>12.847619047619</v>
      </c>
      <c r="T83" s="15" t="n">
        <f aca="false">I83+J83/100</f>
        <v>21.5</v>
      </c>
      <c r="U83" s="12" t="n">
        <f aca="false">INDEX(Scale!$B$3:$B$12,MATCH(T83,Scale!$A$3:$A$12,1))</f>
        <v>6</v>
      </c>
      <c r="V83" s="12" t="n">
        <f aca="false">INDEX(Scale!$B$30:$B$38,MATCH(L83,Scale!$A$30:$A$38,0))</f>
        <v>0</v>
      </c>
      <c r="W83" s="17" t="n">
        <f aca="false">MAX(U83,V83)</f>
        <v>6</v>
      </c>
      <c r="X83" s="12" t="n">
        <f aca="false">IF(W83&lt;=3,1,IF(W83&lt;=5,2,IF(W83&lt;=7,3,IF(W83&lt;=8,4,5))))</f>
        <v>3</v>
      </c>
      <c r="Y83" s="13" t="str">
        <f aca="false">IF(S83&lt;=13,"1 day",IF(S83&lt;=15,"1 long day","2 days"))</f>
        <v>1 day</v>
      </c>
      <c r="Z83" s="12" t="n">
        <f aca="false">ROUND(P83*130*Q83,-1)</f>
        <v>5500</v>
      </c>
      <c r="AA83" s="12" t="n">
        <f aca="false">ROUND(P83*120*Q83,-1)</f>
        <v>5080</v>
      </c>
      <c r="AB83" s="12" t="n">
        <f aca="false">ROUND(P83*110*Q83,-1)</f>
        <v>4650</v>
      </c>
      <c r="AC83" s="12" t="n">
        <f aca="false">ROUND(P83*100*Q83,-1)</f>
        <v>4230</v>
      </c>
      <c r="AD83" s="10" t="s">
        <v>394</v>
      </c>
      <c r="AE83" s="16"/>
      <c r="AF83" s="16"/>
      <c r="AG83" s="16"/>
    </row>
    <row r="84" customFormat="false" ht="15" hidden="false" customHeight="false" outlineLevel="0" collapsed="false">
      <c r="A84" s="12" t="n">
        <v>83</v>
      </c>
      <c r="B84" s="13" t="s">
        <v>371</v>
      </c>
      <c r="C84" s="10" t="s">
        <v>395</v>
      </c>
      <c r="D84" s="14" t="s">
        <v>78</v>
      </c>
      <c r="E84" s="14" t="s">
        <v>78</v>
      </c>
      <c r="F84" s="15" t="n">
        <f aca="false">MAX(IFERROR(INDEX(Stations!$B$2:$B$31,MATCH(D84,Stations!$A$2:$A$31,0)),0),IFERROR(INDEX(Stations!$B$2:$B$31,MATCH(E84,Stations!$A$2:$A$31,0)),0))</f>
        <v>3.1</v>
      </c>
      <c r="G84" s="16" t="n">
        <v>20</v>
      </c>
      <c r="H84" s="16" t="n">
        <v>0</v>
      </c>
      <c r="I84" s="16" t="n">
        <v>14</v>
      </c>
      <c r="J84" s="16" t="n">
        <v>1000</v>
      </c>
      <c r="K84" s="14" t="s">
        <v>128</v>
      </c>
      <c r="L84" s="14" t="s">
        <v>149</v>
      </c>
      <c r="M84" s="14" t="s">
        <v>239</v>
      </c>
      <c r="N84" s="16" t="n">
        <v>4</v>
      </c>
      <c r="O84" s="16" t="s">
        <v>226</v>
      </c>
      <c r="P84" s="12" t="n">
        <f aca="false">INDEX(Scale!$B$16:$B$26,MATCH(K84,Scale!$A$16:$A$26,0))</f>
        <v>6.3</v>
      </c>
      <c r="Q84" s="15" t="n">
        <f aca="false">I84/3+J84/350</f>
        <v>7.52380952380952</v>
      </c>
      <c r="R84" s="15" t="n">
        <f aca="false">I84/4.2+J84/500</f>
        <v>5.33333333333333</v>
      </c>
      <c r="S84" s="15" t="n">
        <f aca="false">2*F84+2*G84/60+2*H84/60+Q84+1</f>
        <v>15.3904761904762</v>
      </c>
      <c r="T84" s="15" t="n">
        <f aca="false">I84+J84/100</f>
        <v>24</v>
      </c>
      <c r="U84" s="12" t="n">
        <f aca="false">INDEX(Scale!$B$3:$B$12,MATCH(T84,Scale!$A$3:$A$12,1))</f>
        <v>6</v>
      </c>
      <c r="V84" s="12" t="n">
        <f aca="false">INDEX(Scale!$B$30:$B$38,MATCH(L84,Scale!$A$30:$A$38,0))</f>
        <v>3</v>
      </c>
      <c r="W84" s="17" t="n">
        <f aca="false">MAX(U84,V84)</f>
        <v>6</v>
      </c>
      <c r="X84" s="12" t="n">
        <f aca="false">IF(W84&lt;=3,1,IF(W84&lt;=5,2,IF(W84&lt;=7,3,IF(W84&lt;=8,4,5))))</f>
        <v>3</v>
      </c>
      <c r="Y84" s="13" t="str">
        <f aca="false">IF(S84&lt;=13,"1 day",IF(S84&lt;=15,"1 long day","2 days"))</f>
        <v>2 days</v>
      </c>
      <c r="Z84" s="12" t="n">
        <f aca="false">ROUND(P84*130*Q84,-1)</f>
        <v>6160</v>
      </c>
      <c r="AA84" s="12" t="n">
        <f aca="false">ROUND(P84*120*Q84,-1)</f>
        <v>5690</v>
      </c>
      <c r="AB84" s="12" t="n">
        <f aca="false">ROUND(P84*110*Q84,-1)</f>
        <v>5210</v>
      </c>
      <c r="AC84" s="12" t="n">
        <f aca="false">ROUND(P84*100*Q84,-1)</f>
        <v>4740</v>
      </c>
      <c r="AD84" s="10" t="s">
        <v>396</v>
      </c>
      <c r="AE84" s="16"/>
      <c r="AF84" s="16"/>
      <c r="AG84" s="16"/>
    </row>
    <row r="85" customFormat="false" ht="15" hidden="false" customHeight="false" outlineLevel="0" collapsed="false">
      <c r="A85" s="12" t="n">
        <v>84</v>
      </c>
      <c r="B85" s="13" t="s">
        <v>371</v>
      </c>
      <c r="C85" s="10" t="s">
        <v>397</v>
      </c>
      <c r="D85" s="14" t="s">
        <v>78</v>
      </c>
      <c r="E85" s="14" t="s">
        <v>78</v>
      </c>
      <c r="F85" s="15" t="n">
        <f aca="false">MAX(IFERROR(INDEX(Stations!$B$2:$B$31,MATCH(D85,Stations!$A$2:$A$31,0)),0),IFERROR(INDEX(Stations!$B$2:$B$31,MATCH(E85,Stations!$A$2:$A$31,0)),0))</f>
        <v>3.1</v>
      </c>
      <c r="G85" s="16" t="n">
        <v>20</v>
      </c>
      <c r="H85" s="16" t="n">
        <v>0</v>
      </c>
      <c r="I85" s="16" t="n">
        <v>12</v>
      </c>
      <c r="J85" s="16" t="n">
        <v>350</v>
      </c>
      <c r="K85" s="14" t="s">
        <v>126</v>
      </c>
      <c r="L85" s="14" t="s">
        <v>147</v>
      </c>
      <c r="M85" s="14" t="s">
        <v>220</v>
      </c>
      <c r="N85" s="16" t="n">
        <v>5</v>
      </c>
      <c r="O85" s="16" t="s">
        <v>252</v>
      </c>
      <c r="P85" s="12" t="n">
        <f aca="false">INDEX(Scale!$B$16:$B$26,MATCH(K85,Scale!$A$16:$A$26,0))</f>
        <v>5.5</v>
      </c>
      <c r="Q85" s="15" t="n">
        <f aca="false">I85/3+J85/350</f>
        <v>5</v>
      </c>
      <c r="R85" s="15" t="n">
        <f aca="false">I85/4.2+J85/500</f>
        <v>3.55714285714286</v>
      </c>
      <c r="S85" s="15" t="n">
        <f aca="false">2*F85+2*G85/60+2*H85/60+Q85+1</f>
        <v>12.8666666666667</v>
      </c>
      <c r="T85" s="15" t="n">
        <f aca="false">I85+J85/100</f>
        <v>15.5</v>
      </c>
      <c r="U85" s="12" t="n">
        <f aca="false">INDEX(Scale!$B$3:$B$12,MATCH(T85,Scale!$A$3:$A$12,1))</f>
        <v>4</v>
      </c>
      <c r="V85" s="12" t="n">
        <f aca="false">INDEX(Scale!$B$30:$B$38,MATCH(L85,Scale!$A$30:$A$38,0))</f>
        <v>0</v>
      </c>
      <c r="W85" s="17" t="n">
        <f aca="false">MAX(U85,V85)</f>
        <v>4</v>
      </c>
      <c r="X85" s="12" t="n">
        <f aca="false">IF(W85&lt;=3,1,IF(W85&lt;=5,2,IF(W85&lt;=7,3,IF(W85&lt;=8,4,5))))</f>
        <v>2</v>
      </c>
      <c r="Y85" s="13" t="str">
        <f aca="false">IF(S85&lt;=13,"1 day",IF(S85&lt;=15,"1 long day","2 days"))</f>
        <v>1 day</v>
      </c>
      <c r="Z85" s="12" t="n">
        <f aca="false">ROUND(P85*130*Q85,-1)</f>
        <v>3580</v>
      </c>
      <c r="AA85" s="12" t="n">
        <f aca="false">ROUND(P85*120*Q85,-1)</f>
        <v>3300</v>
      </c>
      <c r="AB85" s="12" t="n">
        <f aca="false">ROUND(P85*110*Q85,-1)</f>
        <v>3030</v>
      </c>
      <c r="AC85" s="12" t="n">
        <f aca="false">ROUND(P85*100*Q85,-1)</f>
        <v>2750</v>
      </c>
      <c r="AD85" s="10" t="s">
        <v>398</v>
      </c>
      <c r="AE85" s="16"/>
      <c r="AF85" s="16"/>
      <c r="AG85" s="16"/>
    </row>
    <row r="86" customFormat="false" ht="15" hidden="false" customHeight="false" outlineLevel="0" collapsed="false">
      <c r="A86" s="12" t="n">
        <v>85</v>
      </c>
      <c r="B86" s="13" t="s">
        <v>388</v>
      </c>
      <c r="C86" s="10" t="s">
        <v>399</v>
      </c>
      <c r="D86" s="14" t="s">
        <v>72</v>
      </c>
      <c r="E86" s="14" t="s">
        <v>72</v>
      </c>
      <c r="F86" s="15" t="n">
        <f aca="false">MAX(IFERROR(INDEX(Stations!$B$2:$B$31,MATCH(D86,Stations!$A$2:$A$31,0)),0),IFERROR(INDEX(Stations!$B$2:$B$31,MATCH(E86,Stations!$A$2:$A$31,0)),0))</f>
        <v>2.6</v>
      </c>
      <c r="G86" s="16" t="n">
        <v>20</v>
      </c>
      <c r="H86" s="16" t="n">
        <v>0</v>
      </c>
      <c r="I86" s="16" t="n">
        <v>5</v>
      </c>
      <c r="J86" s="16" t="n">
        <v>400</v>
      </c>
      <c r="K86" s="14" t="s">
        <v>128</v>
      </c>
      <c r="L86" s="14" t="s">
        <v>147</v>
      </c>
      <c r="M86" s="14" t="s">
        <v>220</v>
      </c>
      <c r="N86" s="16" t="n">
        <v>1</v>
      </c>
      <c r="O86" s="16" t="s">
        <v>221</v>
      </c>
      <c r="P86" s="12" t="n">
        <f aca="false">INDEX(Scale!$B$16:$B$26,MATCH(K86,Scale!$A$16:$A$26,0))</f>
        <v>6.3</v>
      </c>
      <c r="Q86" s="15" t="n">
        <f aca="false">I86/3+J86/350</f>
        <v>2.80952380952381</v>
      </c>
      <c r="R86" s="15" t="n">
        <f aca="false">I86/4.2+J86/500</f>
        <v>1.99047619047619</v>
      </c>
      <c r="S86" s="15" t="n">
        <f aca="false">2*F86+2*G86/60+2*H86/60+Q86+1</f>
        <v>9.67619047619048</v>
      </c>
      <c r="T86" s="15" t="n">
        <f aca="false">I86+J86/100</f>
        <v>9</v>
      </c>
      <c r="U86" s="12" t="n">
        <f aca="false">INDEX(Scale!$B$3:$B$12,MATCH(T86,Scale!$A$3:$A$12,1))</f>
        <v>3</v>
      </c>
      <c r="V86" s="12" t="n">
        <f aca="false">INDEX(Scale!$B$30:$B$38,MATCH(L86,Scale!$A$30:$A$38,0))</f>
        <v>0</v>
      </c>
      <c r="W86" s="17" t="n">
        <f aca="false">MAX(U86,V86)</f>
        <v>3</v>
      </c>
      <c r="X86" s="12" t="n">
        <f aca="false">IF(W86&lt;=3,1,IF(W86&lt;=5,2,IF(W86&lt;=7,3,IF(W86&lt;=8,4,5))))</f>
        <v>1</v>
      </c>
      <c r="Y86" s="13" t="str">
        <f aca="false">IF(S86&lt;=13,"1 day",IF(S86&lt;=15,"1 long day","2 days"))</f>
        <v>1 day</v>
      </c>
      <c r="Z86" s="12" t="n">
        <f aca="false">ROUND(P86*130*Q86,-1)</f>
        <v>2300</v>
      </c>
      <c r="AA86" s="12" t="n">
        <f aca="false">ROUND(P86*120*Q86,-1)</f>
        <v>2120</v>
      </c>
      <c r="AB86" s="12" t="n">
        <f aca="false">ROUND(P86*110*Q86,-1)</f>
        <v>1950</v>
      </c>
      <c r="AC86" s="12" t="n">
        <f aca="false">ROUND(P86*100*Q86,-1)</f>
        <v>1770</v>
      </c>
      <c r="AD86" s="10" t="s">
        <v>400</v>
      </c>
      <c r="AE86" s="16"/>
      <c r="AF86" s="16"/>
      <c r="AG86" s="16"/>
    </row>
    <row r="87" customFormat="false" ht="15" hidden="false" customHeight="false" outlineLevel="0" collapsed="false">
      <c r="A87" s="12" t="n">
        <v>86</v>
      </c>
      <c r="B87" s="13" t="s">
        <v>388</v>
      </c>
      <c r="C87" s="10" t="s">
        <v>401</v>
      </c>
      <c r="D87" s="14" t="s">
        <v>72</v>
      </c>
      <c r="E87" s="14" t="s">
        <v>72</v>
      </c>
      <c r="F87" s="15" t="n">
        <f aca="false">MAX(IFERROR(INDEX(Stations!$B$2:$B$31,MATCH(D87,Stations!$A$2:$A$31,0)),0),IFERROR(INDEX(Stations!$B$2:$B$31,MATCH(E87,Stations!$A$2:$A$31,0)),0))</f>
        <v>2.6</v>
      </c>
      <c r="G87" s="16" t="n">
        <v>20</v>
      </c>
      <c r="H87" s="16" t="n">
        <v>0</v>
      </c>
      <c r="I87" s="16" t="n">
        <v>9</v>
      </c>
      <c r="J87" s="16" t="n">
        <v>500</v>
      </c>
      <c r="K87" s="14" t="s">
        <v>128</v>
      </c>
      <c r="L87" s="14" t="s">
        <v>147</v>
      </c>
      <c r="M87" s="14" t="s">
        <v>220</v>
      </c>
      <c r="N87" s="16" t="n">
        <v>3</v>
      </c>
      <c r="O87" s="16" t="s">
        <v>226</v>
      </c>
      <c r="P87" s="12" t="n">
        <f aca="false">INDEX(Scale!$B$16:$B$26,MATCH(K87,Scale!$A$16:$A$26,0))</f>
        <v>6.3</v>
      </c>
      <c r="Q87" s="15" t="n">
        <f aca="false">I87/3+J87/350</f>
        <v>4.42857142857143</v>
      </c>
      <c r="R87" s="15" t="n">
        <f aca="false">I87/4.2+J87/500</f>
        <v>3.14285714285714</v>
      </c>
      <c r="S87" s="15" t="n">
        <f aca="false">2*F87+2*G87/60+2*H87/60+Q87+1</f>
        <v>11.2952380952381</v>
      </c>
      <c r="T87" s="15" t="n">
        <f aca="false">I87+J87/100</f>
        <v>14</v>
      </c>
      <c r="U87" s="12" t="n">
        <f aca="false">INDEX(Scale!$B$3:$B$12,MATCH(T87,Scale!$A$3:$A$12,1))</f>
        <v>4</v>
      </c>
      <c r="V87" s="12" t="n">
        <f aca="false">INDEX(Scale!$B$30:$B$38,MATCH(L87,Scale!$A$30:$A$38,0))</f>
        <v>0</v>
      </c>
      <c r="W87" s="17" t="n">
        <f aca="false">MAX(U87,V87)</f>
        <v>4</v>
      </c>
      <c r="X87" s="12" t="n">
        <f aca="false">IF(W87&lt;=3,1,IF(W87&lt;=5,2,IF(W87&lt;=7,3,IF(W87&lt;=8,4,5))))</f>
        <v>2</v>
      </c>
      <c r="Y87" s="13" t="str">
        <f aca="false">IF(S87&lt;=13,"1 day",IF(S87&lt;=15,"1 long day","2 days"))</f>
        <v>1 day</v>
      </c>
      <c r="Z87" s="12" t="n">
        <f aca="false">ROUND(P87*130*Q87,-1)</f>
        <v>3630</v>
      </c>
      <c r="AA87" s="12" t="n">
        <f aca="false">ROUND(P87*120*Q87,-1)</f>
        <v>3350</v>
      </c>
      <c r="AB87" s="12" t="n">
        <f aca="false">ROUND(P87*110*Q87,-1)</f>
        <v>3070</v>
      </c>
      <c r="AC87" s="12" t="n">
        <f aca="false">ROUND(P87*100*Q87,-1)</f>
        <v>2790</v>
      </c>
      <c r="AD87" s="10" t="s">
        <v>402</v>
      </c>
      <c r="AE87" s="16"/>
      <c r="AF87" s="16"/>
      <c r="AG87" s="16"/>
    </row>
    <row r="88" customFormat="false" ht="15" hidden="false" customHeight="false" outlineLevel="0" collapsed="false">
      <c r="A88" s="12" t="n">
        <v>87</v>
      </c>
      <c r="B88" s="13" t="s">
        <v>388</v>
      </c>
      <c r="C88" s="10" t="s">
        <v>403</v>
      </c>
      <c r="D88" s="14" t="s">
        <v>72</v>
      </c>
      <c r="E88" s="14" t="s">
        <v>72</v>
      </c>
      <c r="F88" s="15" t="n">
        <f aca="false">MAX(IFERROR(INDEX(Stations!$B$2:$B$31,MATCH(D88,Stations!$A$2:$A$31,0)),0),IFERROR(INDEX(Stations!$B$2:$B$31,MATCH(E88,Stations!$A$2:$A$31,0)),0))</f>
        <v>2.6</v>
      </c>
      <c r="G88" s="16" t="n">
        <v>30</v>
      </c>
      <c r="H88" s="16" t="n">
        <v>0</v>
      </c>
      <c r="I88" s="16" t="n">
        <v>6</v>
      </c>
      <c r="J88" s="16" t="n">
        <v>250</v>
      </c>
      <c r="K88" s="14" t="s">
        <v>130</v>
      </c>
      <c r="L88" s="14" t="s">
        <v>155</v>
      </c>
      <c r="M88" s="14" t="s">
        <v>231</v>
      </c>
      <c r="N88" s="16" t="n">
        <v>2</v>
      </c>
      <c r="O88" s="16" t="s">
        <v>221</v>
      </c>
      <c r="P88" s="12" t="n">
        <f aca="false">INDEX(Scale!$B$16:$B$26,MATCH(K88,Scale!$A$16:$A$26,0))</f>
        <v>7</v>
      </c>
      <c r="Q88" s="15" t="n">
        <f aca="false">I88/3+J88/350</f>
        <v>2.71428571428571</v>
      </c>
      <c r="R88" s="15" t="n">
        <f aca="false">I88/4.2+J88/500</f>
        <v>1.92857142857143</v>
      </c>
      <c r="S88" s="15" t="n">
        <f aca="false">2*F88+2*G88/60+2*H88/60+Q88+1</f>
        <v>9.91428571428572</v>
      </c>
      <c r="T88" s="15" t="n">
        <f aca="false">I88+J88/100</f>
        <v>8.5</v>
      </c>
      <c r="U88" s="12" t="n">
        <f aca="false">INDEX(Scale!$B$3:$B$12,MATCH(T88,Scale!$A$3:$A$12,1))</f>
        <v>2</v>
      </c>
      <c r="V88" s="12" t="n">
        <f aca="false">INDEX(Scale!$B$30:$B$38,MATCH(L88,Scale!$A$30:$A$38,0))</f>
        <v>6</v>
      </c>
      <c r="W88" s="17" t="n">
        <f aca="false">MAX(U88,V88)</f>
        <v>6</v>
      </c>
      <c r="X88" s="12" t="n">
        <f aca="false">IF(W88&lt;=3,1,IF(W88&lt;=5,2,IF(W88&lt;=7,3,IF(W88&lt;=8,4,5))))</f>
        <v>3</v>
      </c>
      <c r="Y88" s="13" t="str">
        <f aca="false">IF(S88&lt;=13,"1 day",IF(S88&lt;=15,"1 long day","2 days"))</f>
        <v>1 day</v>
      </c>
      <c r="Z88" s="12" t="n">
        <f aca="false">ROUND(P88*130*Q88,-1)</f>
        <v>2470</v>
      </c>
      <c r="AA88" s="12" t="n">
        <f aca="false">ROUND(P88*120*Q88,-1)</f>
        <v>2280</v>
      </c>
      <c r="AB88" s="12" t="n">
        <f aca="false">ROUND(P88*110*Q88,-1)</f>
        <v>2090</v>
      </c>
      <c r="AC88" s="12" t="n">
        <f aca="false">ROUND(P88*100*Q88,-1)</f>
        <v>1900</v>
      </c>
      <c r="AD88" s="10" t="s">
        <v>404</v>
      </c>
      <c r="AE88" s="16"/>
      <c r="AF88" s="16"/>
      <c r="AG88" s="16"/>
    </row>
    <row r="89" customFormat="false" ht="15" hidden="false" customHeight="false" outlineLevel="0" collapsed="false">
      <c r="A89" s="12" t="n">
        <v>88</v>
      </c>
      <c r="B89" s="13" t="s">
        <v>388</v>
      </c>
      <c r="C89" s="10" t="s">
        <v>405</v>
      </c>
      <c r="D89" s="14" t="s">
        <v>72</v>
      </c>
      <c r="E89" s="14" t="s">
        <v>72</v>
      </c>
      <c r="F89" s="15" t="n">
        <f aca="false">MAX(IFERROR(INDEX(Stations!$B$2:$B$31,MATCH(D89,Stations!$A$2:$A$31,0)),0),IFERROR(INDEX(Stations!$B$2:$B$31,MATCH(E89,Stations!$A$2:$A$31,0)),0))</f>
        <v>2.6</v>
      </c>
      <c r="G89" s="16" t="n">
        <v>25</v>
      </c>
      <c r="H89" s="16" t="n">
        <v>0</v>
      </c>
      <c r="I89" s="16" t="n">
        <v>10</v>
      </c>
      <c r="J89" s="16" t="n">
        <v>550</v>
      </c>
      <c r="K89" s="14" t="s">
        <v>126</v>
      </c>
      <c r="L89" s="14" t="s">
        <v>147</v>
      </c>
      <c r="M89" s="14" t="s">
        <v>220</v>
      </c>
      <c r="N89" s="16" t="n">
        <v>2</v>
      </c>
      <c r="O89" s="16" t="s">
        <v>221</v>
      </c>
      <c r="P89" s="12" t="n">
        <f aca="false">INDEX(Scale!$B$16:$B$26,MATCH(K89,Scale!$A$16:$A$26,0))</f>
        <v>5.5</v>
      </c>
      <c r="Q89" s="15" t="n">
        <f aca="false">I89/3+J89/350</f>
        <v>4.90476190476191</v>
      </c>
      <c r="R89" s="15" t="n">
        <f aca="false">I89/4.2+J89/500</f>
        <v>3.48095238095238</v>
      </c>
      <c r="S89" s="15" t="n">
        <f aca="false">2*F89+2*G89/60+2*H89/60+Q89+1</f>
        <v>11.9380952380952</v>
      </c>
      <c r="T89" s="15" t="n">
        <f aca="false">I89+J89/100</f>
        <v>15.5</v>
      </c>
      <c r="U89" s="12" t="n">
        <f aca="false">INDEX(Scale!$B$3:$B$12,MATCH(T89,Scale!$A$3:$A$12,1))</f>
        <v>4</v>
      </c>
      <c r="V89" s="12" t="n">
        <f aca="false">INDEX(Scale!$B$30:$B$38,MATCH(L89,Scale!$A$30:$A$38,0))</f>
        <v>0</v>
      </c>
      <c r="W89" s="17" t="n">
        <f aca="false">MAX(U89,V89)</f>
        <v>4</v>
      </c>
      <c r="X89" s="12" t="n">
        <f aca="false">IF(W89&lt;=3,1,IF(W89&lt;=5,2,IF(W89&lt;=7,3,IF(W89&lt;=8,4,5))))</f>
        <v>2</v>
      </c>
      <c r="Y89" s="13" t="str">
        <f aca="false">IF(S89&lt;=13,"1 day",IF(S89&lt;=15,"1 long day","2 days"))</f>
        <v>1 day</v>
      </c>
      <c r="Z89" s="12" t="n">
        <f aca="false">ROUND(P89*130*Q89,-1)</f>
        <v>3510</v>
      </c>
      <c r="AA89" s="12" t="n">
        <f aca="false">ROUND(P89*120*Q89,-1)</f>
        <v>3240</v>
      </c>
      <c r="AB89" s="12" t="n">
        <f aca="false">ROUND(P89*110*Q89,-1)</f>
        <v>2970</v>
      </c>
      <c r="AC89" s="12" t="n">
        <f aca="false">ROUND(P89*100*Q89,-1)</f>
        <v>2700</v>
      </c>
      <c r="AD89" s="10" t="s">
        <v>406</v>
      </c>
      <c r="AE89" s="16"/>
      <c r="AF89" s="16"/>
      <c r="AG89" s="16"/>
    </row>
    <row r="90" customFormat="false" ht="15" hidden="false" customHeight="false" outlineLevel="0" collapsed="false">
      <c r="A90" s="12" t="n">
        <v>89</v>
      </c>
      <c r="B90" s="13" t="s">
        <v>388</v>
      </c>
      <c r="C90" s="10" t="s">
        <v>407</v>
      </c>
      <c r="D90" s="14" t="s">
        <v>72</v>
      </c>
      <c r="E90" s="14" t="s">
        <v>72</v>
      </c>
      <c r="F90" s="15" t="n">
        <f aca="false">MAX(IFERROR(INDEX(Stations!$B$2:$B$31,MATCH(D90,Stations!$A$2:$A$31,0)),0),IFERROR(INDEX(Stations!$B$2:$B$31,MATCH(E90,Stations!$A$2:$A$31,0)),0))</f>
        <v>2.6</v>
      </c>
      <c r="G90" s="16" t="n">
        <v>25</v>
      </c>
      <c r="H90" s="16" t="n">
        <v>0</v>
      </c>
      <c r="I90" s="16" t="n">
        <v>17</v>
      </c>
      <c r="J90" s="16" t="n">
        <v>950</v>
      </c>
      <c r="K90" s="14" t="s">
        <v>128</v>
      </c>
      <c r="L90" s="14" t="s">
        <v>147</v>
      </c>
      <c r="M90" s="14" t="s">
        <v>239</v>
      </c>
      <c r="N90" s="16" t="n">
        <v>2</v>
      </c>
      <c r="O90" s="16" t="s">
        <v>221</v>
      </c>
      <c r="P90" s="12" t="n">
        <f aca="false">INDEX(Scale!$B$16:$B$26,MATCH(K90,Scale!$A$16:$A$26,0))</f>
        <v>6.3</v>
      </c>
      <c r="Q90" s="15" t="n">
        <f aca="false">I90/3+J90/350</f>
        <v>8.38095238095238</v>
      </c>
      <c r="R90" s="15" t="n">
        <f aca="false">I90/4.2+J90/500</f>
        <v>5.94761904761905</v>
      </c>
      <c r="S90" s="15" t="n">
        <f aca="false">2*F90+2*G90/60+2*H90/60+Q90+1</f>
        <v>15.4142857142857</v>
      </c>
      <c r="T90" s="15" t="n">
        <f aca="false">I90+J90/100</f>
        <v>26.5</v>
      </c>
      <c r="U90" s="12" t="n">
        <f aca="false">INDEX(Scale!$B$3:$B$12,MATCH(T90,Scale!$A$3:$A$12,1))</f>
        <v>6</v>
      </c>
      <c r="V90" s="12" t="n">
        <f aca="false">INDEX(Scale!$B$30:$B$38,MATCH(L90,Scale!$A$30:$A$38,0))</f>
        <v>0</v>
      </c>
      <c r="W90" s="17" t="n">
        <f aca="false">MAX(U90,V90)</f>
        <v>6</v>
      </c>
      <c r="X90" s="12" t="n">
        <f aca="false">IF(W90&lt;=3,1,IF(W90&lt;=5,2,IF(W90&lt;=7,3,IF(W90&lt;=8,4,5))))</f>
        <v>3</v>
      </c>
      <c r="Y90" s="13" t="str">
        <f aca="false">IF(S90&lt;=13,"1 day",IF(S90&lt;=15,"1 long day","2 days"))</f>
        <v>2 days</v>
      </c>
      <c r="Z90" s="12" t="n">
        <f aca="false">ROUND(P90*130*Q90,-1)</f>
        <v>6860</v>
      </c>
      <c r="AA90" s="12" t="n">
        <f aca="false">ROUND(P90*120*Q90,-1)</f>
        <v>6340</v>
      </c>
      <c r="AB90" s="12" t="n">
        <f aca="false">ROUND(P90*110*Q90,-1)</f>
        <v>5810</v>
      </c>
      <c r="AC90" s="12" t="n">
        <f aca="false">ROUND(P90*100*Q90,-1)</f>
        <v>5280</v>
      </c>
      <c r="AD90" s="10" t="s">
        <v>408</v>
      </c>
      <c r="AE90" s="16"/>
      <c r="AF90" s="16"/>
      <c r="AG90" s="16"/>
    </row>
    <row r="91" customFormat="false" ht="15" hidden="false" customHeight="false" outlineLevel="0" collapsed="false">
      <c r="A91" s="12" t="n">
        <v>90</v>
      </c>
      <c r="B91" s="13" t="s">
        <v>388</v>
      </c>
      <c r="C91" s="10" t="s">
        <v>409</v>
      </c>
      <c r="D91" s="14" t="s">
        <v>72</v>
      </c>
      <c r="E91" s="14" t="s">
        <v>72</v>
      </c>
      <c r="F91" s="15" t="n">
        <f aca="false">MAX(IFERROR(INDEX(Stations!$B$2:$B$31,MATCH(D91,Stations!$A$2:$A$31,0)),0),IFERROR(INDEX(Stations!$B$2:$B$31,MATCH(E91,Stations!$A$2:$A$31,0)),0))</f>
        <v>2.6</v>
      </c>
      <c r="G91" s="16" t="n">
        <v>25</v>
      </c>
      <c r="H91" s="16" t="n">
        <v>0</v>
      </c>
      <c r="I91" s="16" t="n">
        <v>15</v>
      </c>
      <c r="J91" s="16" t="n">
        <v>1000</v>
      </c>
      <c r="K91" s="14" t="s">
        <v>128</v>
      </c>
      <c r="L91" s="14" t="s">
        <v>149</v>
      </c>
      <c r="M91" s="14" t="s">
        <v>239</v>
      </c>
      <c r="N91" s="16" t="n">
        <v>4</v>
      </c>
      <c r="O91" s="16" t="s">
        <v>226</v>
      </c>
      <c r="P91" s="12" t="n">
        <f aca="false">INDEX(Scale!$B$16:$B$26,MATCH(K91,Scale!$A$16:$A$26,0))</f>
        <v>6.3</v>
      </c>
      <c r="Q91" s="15" t="n">
        <f aca="false">I91/3+J91/350</f>
        <v>7.85714285714286</v>
      </c>
      <c r="R91" s="15" t="n">
        <f aca="false">I91/4.2+J91/500</f>
        <v>5.57142857142857</v>
      </c>
      <c r="S91" s="15" t="n">
        <f aca="false">2*F91+2*G91/60+2*H91/60+Q91+1</f>
        <v>14.8904761904762</v>
      </c>
      <c r="T91" s="15" t="n">
        <f aca="false">I91+J91/100</f>
        <v>25</v>
      </c>
      <c r="U91" s="12" t="n">
        <f aca="false">INDEX(Scale!$B$3:$B$12,MATCH(T91,Scale!$A$3:$A$12,1))</f>
        <v>6</v>
      </c>
      <c r="V91" s="12" t="n">
        <f aca="false">INDEX(Scale!$B$30:$B$38,MATCH(L91,Scale!$A$30:$A$38,0))</f>
        <v>3</v>
      </c>
      <c r="W91" s="17" t="n">
        <f aca="false">MAX(U91,V91)</f>
        <v>6</v>
      </c>
      <c r="X91" s="12" t="n">
        <f aca="false">IF(W91&lt;=3,1,IF(W91&lt;=5,2,IF(W91&lt;=7,3,IF(W91&lt;=8,4,5))))</f>
        <v>3</v>
      </c>
      <c r="Y91" s="13" t="str">
        <f aca="false">IF(S91&lt;=13,"1 day",IF(S91&lt;=15,"1 long day","2 days"))</f>
        <v>1 long day</v>
      </c>
      <c r="Z91" s="12" t="n">
        <f aca="false">ROUND(P91*130*Q91,-1)</f>
        <v>6440</v>
      </c>
      <c r="AA91" s="12" t="n">
        <f aca="false">ROUND(P91*120*Q91,-1)</f>
        <v>5940</v>
      </c>
      <c r="AB91" s="12" t="n">
        <f aca="false">ROUND(P91*110*Q91,-1)</f>
        <v>5450</v>
      </c>
      <c r="AC91" s="12" t="n">
        <f aca="false">ROUND(P91*100*Q91,-1)</f>
        <v>4950</v>
      </c>
      <c r="AD91" s="10" t="s">
        <v>410</v>
      </c>
      <c r="AE91" s="16"/>
      <c r="AF91" s="16"/>
      <c r="AG91" s="16"/>
    </row>
    <row r="92" customFormat="false" ht="15" hidden="false" customHeight="false" outlineLevel="0" collapsed="false">
      <c r="A92" s="12" t="n">
        <v>91</v>
      </c>
      <c r="B92" s="13" t="s">
        <v>388</v>
      </c>
      <c r="C92" s="10" t="s">
        <v>411</v>
      </c>
      <c r="D92" s="14" t="s">
        <v>72</v>
      </c>
      <c r="E92" s="14" t="s">
        <v>72</v>
      </c>
      <c r="F92" s="15" t="n">
        <f aca="false">MAX(IFERROR(INDEX(Stations!$B$2:$B$31,MATCH(D92,Stations!$A$2:$A$31,0)),0),IFERROR(INDEX(Stations!$B$2:$B$31,MATCH(E92,Stations!$A$2:$A$31,0)),0))</f>
        <v>2.6</v>
      </c>
      <c r="G92" s="16" t="n">
        <v>20</v>
      </c>
      <c r="H92" s="16" t="n">
        <v>0</v>
      </c>
      <c r="I92" s="16" t="n">
        <v>8</v>
      </c>
      <c r="J92" s="16" t="n">
        <v>350</v>
      </c>
      <c r="K92" s="14" t="s">
        <v>126</v>
      </c>
      <c r="L92" s="14" t="s">
        <v>147</v>
      </c>
      <c r="M92" s="14" t="s">
        <v>220</v>
      </c>
      <c r="N92" s="16" t="n">
        <v>5</v>
      </c>
      <c r="O92" s="16" t="s">
        <v>226</v>
      </c>
      <c r="P92" s="12" t="n">
        <f aca="false">INDEX(Scale!$B$16:$B$26,MATCH(K92,Scale!$A$16:$A$26,0))</f>
        <v>5.5</v>
      </c>
      <c r="Q92" s="15" t="n">
        <f aca="false">I92/3+J92/350</f>
        <v>3.66666666666667</v>
      </c>
      <c r="R92" s="15" t="n">
        <f aca="false">I92/4.2+J92/500</f>
        <v>2.6047619047619</v>
      </c>
      <c r="S92" s="15" t="n">
        <f aca="false">2*F92+2*G92/60+2*H92/60+Q92+1</f>
        <v>10.5333333333333</v>
      </c>
      <c r="T92" s="15" t="n">
        <f aca="false">I92+J92/100</f>
        <v>11.5</v>
      </c>
      <c r="U92" s="12" t="n">
        <f aca="false">INDEX(Scale!$B$3:$B$12,MATCH(T92,Scale!$A$3:$A$12,1))</f>
        <v>3</v>
      </c>
      <c r="V92" s="12" t="n">
        <f aca="false">INDEX(Scale!$B$30:$B$38,MATCH(L92,Scale!$A$30:$A$38,0))</f>
        <v>0</v>
      </c>
      <c r="W92" s="17" t="n">
        <f aca="false">MAX(U92,V92)</f>
        <v>3</v>
      </c>
      <c r="X92" s="12" t="n">
        <f aca="false">IF(W92&lt;=3,1,IF(W92&lt;=5,2,IF(W92&lt;=7,3,IF(W92&lt;=8,4,5))))</f>
        <v>1</v>
      </c>
      <c r="Y92" s="13" t="str">
        <f aca="false">IF(S92&lt;=13,"1 day",IF(S92&lt;=15,"1 long day","2 days"))</f>
        <v>1 day</v>
      </c>
      <c r="Z92" s="12" t="n">
        <f aca="false">ROUND(P92*130*Q92,-1)</f>
        <v>2620</v>
      </c>
      <c r="AA92" s="12" t="n">
        <f aca="false">ROUND(P92*120*Q92,-1)</f>
        <v>2420</v>
      </c>
      <c r="AB92" s="12" t="n">
        <f aca="false">ROUND(P92*110*Q92,-1)</f>
        <v>2220</v>
      </c>
      <c r="AC92" s="12" t="n">
        <f aca="false">ROUND(P92*100*Q92,-1)</f>
        <v>2020</v>
      </c>
      <c r="AD92" s="10" t="s">
        <v>412</v>
      </c>
      <c r="AE92" s="16"/>
      <c r="AF92" s="16"/>
      <c r="AG92" s="16"/>
    </row>
    <row r="93" customFormat="false" ht="15" hidden="false" customHeight="false" outlineLevel="0" collapsed="false">
      <c r="A93" s="12" t="n">
        <v>92</v>
      </c>
      <c r="B93" s="13" t="s">
        <v>388</v>
      </c>
      <c r="C93" s="10" t="s">
        <v>413</v>
      </c>
      <c r="D93" s="14" t="s">
        <v>72</v>
      </c>
      <c r="E93" s="14" t="s">
        <v>72</v>
      </c>
      <c r="F93" s="15" t="n">
        <f aca="false">MAX(IFERROR(INDEX(Stations!$B$2:$B$31,MATCH(D93,Stations!$A$2:$A$31,0)),0),IFERROR(INDEX(Stations!$B$2:$B$31,MATCH(E93,Stations!$A$2:$A$31,0)),0))</f>
        <v>2.6</v>
      </c>
      <c r="G93" s="16" t="n">
        <v>15</v>
      </c>
      <c r="H93" s="16" t="n">
        <v>0</v>
      </c>
      <c r="I93" s="16" t="n">
        <v>6</v>
      </c>
      <c r="J93" s="16" t="n">
        <v>200</v>
      </c>
      <c r="K93" s="14" t="s">
        <v>124</v>
      </c>
      <c r="L93" s="14" t="s">
        <v>147</v>
      </c>
      <c r="M93" s="14" t="s">
        <v>220</v>
      </c>
      <c r="N93" s="16" t="n">
        <v>3</v>
      </c>
      <c r="O93" s="16" t="s">
        <v>226</v>
      </c>
      <c r="P93" s="12" t="n">
        <f aca="false">INDEX(Scale!$B$16:$B$26,MATCH(K93,Scale!$A$16:$A$26,0))</f>
        <v>4.5</v>
      </c>
      <c r="Q93" s="15" t="n">
        <f aca="false">I93/3+J93/350</f>
        <v>2.57142857142857</v>
      </c>
      <c r="R93" s="15" t="n">
        <f aca="false">I93/4.2+J93/500</f>
        <v>1.82857142857143</v>
      </c>
      <c r="S93" s="15" t="n">
        <f aca="false">2*F93+2*G93/60+2*H93/60+Q93+1</f>
        <v>9.27142857142857</v>
      </c>
      <c r="T93" s="15" t="n">
        <f aca="false">I93+J93/100</f>
        <v>8</v>
      </c>
      <c r="U93" s="12" t="n">
        <f aca="false">INDEX(Scale!$B$3:$B$12,MATCH(T93,Scale!$A$3:$A$12,1))</f>
        <v>2</v>
      </c>
      <c r="V93" s="12" t="n">
        <f aca="false">INDEX(Scale!$B$30:$B$38,MATCH(L93,Scale!$A$30:$A$38,0))</f>
        <v>0</v>
      </c>
      <c r="W93" s="17" t="n">
        <f aca="false">MAX(U93,V93)</f>
        <v>2</v>
      </c>
      <c r="X93" s="12" t="n">
        <f aca="false">IF(W93&lt;=3,1,IF(W93&lt;=5,2,IF(W93&lt;=7,3,IF(W93&lt;=8,4,5))))</f>
        <v>1</v>
      </c>
      <c r="Y93" s="13" t="str">
        <f aca="false">IF(S93&lt;=13,"1 day",IF(S93&lt;=15,"1 long day","2 days"))</f>
        <v>1 day</v>
      </c>
      <c r="Z93" s="12" t="n">
        <f aca="false">ROUND(P93*130*Q93,-1)</f>
        <v>1500</v>
      </c>
      <c r="AA93" s="12" t="n">
        <f aca="false">ROUND(P93*120*Q93,-1)</f>
        <v>1390</v>
      </c>
      <c r="AB93" s="12" t="n">
        <f aca="false">ROUND(P93*110*Q93,-1)</f>
        <v>1270</v>
      </c>
      <c r="AC93" s="12" t="n">
        <f aca="false">ROUND(P93*100*Q93,-1)</f>
        <v>1160</v>
      </c>
      <c r="AD93" s="10" t="s">
        <v>414</v>
      </c>
      <c r="AE93" s="16"/>
      <c r="AF93" s="16"/>
      <c r="AG93" s="16"/>
    </row>
    <row r="94" customFormat="false" ht="15" hidden="false" customHeight="false" outlineLevel="0" collapsed="false">
      <c r="A94" s="12" t="n">
        <v>93</v>
      </c>
      <c r="B94" s="13" t="s">
        <v>388</v>
      </c>
      <c r="C94" s="10" t="s">
        <v>415</v>
      </c>
      <c r="D94" s="14" t="s">
        <v>72</v>
      </c>
      <c r="E94" s="14" t="s">
        <v>72</v>
      </c>
      <c r="F94" s="15" t="n">
        <f aca="false">MAX(IFERROR(INDEX(Stations!$B$2:$B$31,MATCH(D94,Stations!$A$2:$A$31,0)),0),IFERROR(INDEX(Stations!$B$2:$B$31,MATCH(E94,Stations!$A$2:$A$31,0)),0))</f>
        <v>2.6</v>
      </c>
      <c r="G94" s="16" t="n">
        <v>30</v>
      </c>
      <c r="H94" s="16" t="n">
        <v>0</v>
      </c>
      <c r="I94" s="16" t="n">
        <v>12</v>
      </c>
      <c r="J94" s="16" t="n">
        <v>600</v>
      </c>
      <c r="K94" s="14" t="s">
        <v>126</v>
      </c>
      <c r="L94" s="14" t="s">
        <v>147</v>
      </c>
      <c r="M94" s="14" t="s">
        <v>220</v>
      </c>
      <c r="N94" s="16" t="n">
        <v>3</v>
      </c>
      <c r="O94" s="16" t="s">
        <v>226</v>
      </c>
      <c r="P94" s="12" t="n">
        <f aca="false">INDEX(Scale!$B$16:$B$26,MATCH(K94,Scale!$A$16:$A$26,0))</f>
        <v>5.5</v>
      </c>
      <c r="Q94" s="15" t="n">
        <f aca="false">I94/3+J94/350</f>
        <v>5.71428571428571</v>
      </c>
      <c r="R94" s="15" t="n">
        <f aca="false">I94/4.2+J94/500</f>
        <v>4.05714285714286</v>
      </c>
      <c r="S94" s="15" t="n">
        <f aca="false">2*F94+2*G94/60+2*H94/60+Q94+1</f>
        <v>12.9142857142857</v>
      </c>
      <c r="T94" s="15" t="n">
        <f aca="false">I94+J94/100</f>
        <v>18</v>
      </c>
      <c r="U94" s="12" t="n">
        <f aca="false">INDEX(Scale!$B$3:$B$12,MATCH(T94,Scale!$A$3:$A$12,1))</f>
        <v>5</v>
      </c>
      <c r="V94" s="12" t="n">
        <f aca="false">INDEX(Scale!$B$30:$B$38,MATCH(L94,Scale!$A$30:$A$38,0))</f>
        <v>0</v>
      </c>
      <c r="W94" s="17" t="n">
        <f aca="false">MAX(U94,V94)</f>
        <v>5</v>
      </c>
      <c r="X94" s="12" t="n">
        <f aca="false">IF(W94&lt;=3,1,IF(W94&lt;=5,2,IF(W94&lt;=7,3,IF(W94&lt;=8,4,5))))</f>
        <v>2</v>
      </c>
      <c r="Y94" s="13" t="str">
        <f aca="false">IF(S94&lt;=13,"1 day",IF(S94&lt;=15,"1 long day","2 days"))</f>
        <v>1 day</v>
      </c>
      <c r="Z94" s="12" t="n">
        <f aca="false">ROUND(P94*130*Q94,-1)</f>
        <v>4090</v>
      </c>
      <c r="AA94" s="12" t="n">
        <f aca="false">ROUND(P94*120*Q94,-1)</f>
        <v>3770</v>
      </c>
      <c r="AB94" s="12" t="n">
        <f aca="false">ROUND(P94*110*Q94,-1)</f>
        <v>3460</v>
      </c>
      <c r="AC94" s="12" t="n">
        <f aca="false">ROUND(P94*100*Q94,-1)</f>
        <v>3140</v>
      </c>
      <c r="AD94" s="10" t="s">
        <v>416</v>
      </c>
      <c r="AE94" s="16"/>
      <c r="AF94" s="16"/>
      <c r="AG94" s="16"/>
    </row>
    <row r="95" customFormat="false" ht="15" hidden="false" customHeight="false" outlineLevel="0" collapsed="false">
      <c r="A95" s="12" t="n">
        <v>94</v>
      </c>
      <c r="B95" s="13" t="s">
        <v>388</v>
      </c>
      <c r="C95" s="10" t="s">
        <v>417</v>
      </c>
      <c r="D95" s="14" t="s">
        <v>72</v>
      </c>
      <c r="E95" s="14" t="s">
        <v>72</v>
      </c>
      <c r="F95" s="15" t="n">
        <f aca="false">MAX(IFERROR(INDEX(Stations!$B$2:$B$31,MATCH(D95,Stations!$A$2:$A$31,0)),0),IFERROR(INDEX(Stations!$B$2:$B$31,MATCH(E95,Stations!$A$2:$A$31,0)),0))</f>
        <v>2.6</v>
      </c>
      <c r="G95" s="16" t="n">
        <v>30</v>
      </c>
      <c r="H95" s="16" t="n">
        <v>0</v>
      </c>
      <c r="I95" s="16" t="n">
        <v>14</v>
      </c>
      <c r="J95" s="16" t="n">
        <v>950</v>
      </c>
      <c r="K95" s="14" t="s">
        <v>130</v>
      </c>
      <c r="L95" s="14" t="s">
        <v>153</v>
      </c>
      <c r="M95" s="14" t="s">
        <v>239</v>
      </c>
      <c r="N95" s="16" t="n">
        <v>5</v>
      </c>
      <c r="O95" s="16" t="s">
        <v>252</v>
      </c>
      <c r="P95" s="12" t="n">
        <f aca="false">INDEX(Scale!$B$16:$B$26,MATCH(K95,Scale!$A$16:$A$26,0))</f>
        <v>7</v>
      </c>
      <c r="Q95" s="15" t="n">
        <f aca="false">I95/3+J95/350</f>
        <v>7.38095238095238</v>
      </c>
      <c r="R95" s="15" t="n">
        <f aca="false">I95/4.2+J95/500</f>
        <v>5.23333333333333</v>
      </c>
      <c r="S95" s="15" t="n">
        <f aca="false">2*F95+2*G95/60+2*H95/60+Q95+1</f>
        <v>14.5809523809524</v>
      </c>
      <c r="T95" s="15" t="n">
        <f aca="false">I95+J95/100</f>
        <v>23.5</v>
      </c>
      <c r="U95" s="12" t="n">
        <f aca="false">INDEX(Scale!$B$3:$B$12,MATCH(T95,Scale!$A$3:$A$12,1))</f>
        <v>6</v>
      </c>
      <c r="V95" s="12" t="n">
        <f aca="false">INDEX(Scale!$B$30:$B$38,MATCH(L95,Scale!$A$30:$A$38,0))</f>
        <v>6</v>
      </c>
      <c r="W95" s="17" t="n">
        <f aca="false">MAX(U95,V95)</f>
        <v>6</v>
      </c>
      <c r="X95" s="12" t="n">
        <f aca="false">IF(W95&lt;=3,1,IF(W95&lt;=5,2,IF(W95&lt;=7,3,IF(W95&lt;=8,4,5))))</f>
        <v>3</v>
      </c>
      <c r="Y95" s="13" t="str">
        <f aca="false">IF(S95&lt;=13,"1 day",IF(S95&lt;=15,"1 long day","2 days"))</f>
        <v>1 long day</v>
      </c>
      <c r="Z95" s="12" t="n">
        <f aca="false">ROUND(P95*130*Q95,-1)</f>
        <v>6720</v>
      </c>
      <c r="AA95" s="12" t="n">
        <f aca="false">ROUND(P95*120*Q95,-1)</f>
        <v>6200</v>
      </c>
      <c r="AB95" s="12" t="n">
        <f aca="false">ROUND(P95*110*Q95,-1)</f>
        <v>5680</v>
      </c>
      <c r="AC95" s="12" t="n">
        <f aca="false">ROUND(P95*100*Q95,-1)</f>
        <v>5170</v>
      </c>
      <c r="AD95" s="10" t="s">
        <v>418</v>
      </c>
      <c r="AE95" s="16"/>
      <c r="AF95" s="16"/>
      <c r="AG95" s="16"/>
    </row>
    <row r="96" customFormat="false" ht="15" hidden="false" customHeight="false" outlineLevel="0" collapsed="false">
      <c r="A96" s="12" t="n">
        <v>95</v>
      </c>
      <c r="B96" s="13" t="s">
        <v>362</v>
      </c>
      <c r="C96" s="10" t="s">
        <v>419</v>
      </c>
      <c r="D96" s="14" t="s">
        <v>81</v>
      </c>
      <c r="E96" s="14" t="s">
        <v>81</v>
      </c>
      <c r="F96" s="15" t="n">
        <f aca="false">MAX(IFERROR(INDEX(Stations!$B$2:$B$31,MATCH(D96,Stations!$A$2:$A$31,0)),0),IFERROR(INDEX(Stations!$B$2:$B$31,MATCH(E96,Stations!$A$2:$A$31,0)),0))</f>
        <v>3.1</v>
      </c>
      <c r="G96" s="16" t="n">
        <v>15</v>
      </c>
      <c r="H96" s="16" t="n">
        <v>0</v>
      </c>
      <c r="I96" s="16" t="n">
        <v>6</v>
      </c>
      <c r="J96" s="16" t="n">
        <v>250</v>
      </c>
      <c r="K96" s="14" t="s">
        <v>128</v>
      </c>
      <c r="L96" s="14" t="s">
        <v>147</v>
      </c>
      <c r="M96" s="14" t="s">
        <v>220</v>
      </c>
      <c r="N96" s="16" t="n">
        <v>2</v>
      </c>
      <c r="O96" s="16" t="s">
        <v>221</v>
      </c>
      <c r="P96" s="12" t="n">
        <f aca="false">INDEX(Scale!$B$16:$B$26,MATCH(K96,Scale!$A$16:$A$26,0))</f>
        <v>6.3</v>
      </c>
      <c r="Q96" s="15" t="n">
        <f aca="false">I96/3+J96/350</f>
        <v>2.71428571428571</v>
      </c>
      <c r="R96" s="15" t="n">
        <f aca="false">I96/4.2+J96/500</f>
        <v>1.92857142857143</v>
      </c>
      <c r="S96" s="15" t="n">
        <f aca="false">2*F96+2*G96/60+2*H96/60+Q96+1</f>
        <v>10.4142857142857</v>
      </c>
      <c r="T96" s="15" t="n">
        <f aca="false">I96+J96/100</f>
        <v>8.5</v>
      </c>
      <c r="U96" s="12" t="n">
        <f aca="false">INDEX(Scale!$B$3:$B$12,MATCH(T96,Scale!$A$3:$A$12,1))</f>
        <v>2</v>
      </c>
      <c r="V96" s="12" t="n">
        <f aca="false">INDEX(Scale!$B$30:$B$38,MATCH(L96,Scale!$A$30:$A$38,0))</f>
        <v>0</v>
      </c>
      <c r="W96" s="17" t="n">
        <f aca="false">MAX(U96,V96)</f>
        <v>2</v>
      </c>
      <c r="X96" s="12" t="n">
        <f aca="false">IF(W96&lt;=3,1,IF(W96&lt;=5,2,IF(W96&lt;=7,3,IF(W96&lt;=8,4,5))))</f>
        <v>1</v>
      </c>
      <c r="Y96" s="13" t="str">
        <f aca="false">IF(S96&lt;=13,"1 day",IF(S96&lt;=15,"1 long day","2 days"))</f>
        <v>1 day</v>
      </c>
      <c r="Z96" s="12" t="n">
        <f aca="false">ROUND(P96*130*Q96,-1)</f>
        <v>2220</v>
      </c>
      <c r="AA96" s="12" t="n">
        <f aca="false">ROUND(P96*120*Q96,-1)</f>
        <v>2050</v>
      </c>
      <c r="AB96" s="12" t="n">
        <f aca="false">ROUND(P96*110*Q96,-1)</f>
        <v>1880</v>
      </c>
      <c r="AC96" s="12" t="n">
        <f aca="false">ROUND(P96*100*Q96,-1)</f>
        <v>1710</v>
      </c>
      <c r="AD96" s="10" t="s">
        <v>420</v>
      </c>
      <c r="AE96" s="16"/>
      <c r="AF96" s="16"/>
      <c r="AG96" s="16"/>
    </row>
    <row r="97" customFormat="false" ht="15" hidden="false" customHeight="false" outlineLevel="0" collapsed="false">
      <c r="A97" s="12" t="n">
        <v>96</v>
      </c>
      <c r="B97" s="13" t="s">
        <v>362</v>
      </c>
      <c r="C97" s="10" t="s">
        <v>421</v>
      </c>
      <c r="D97" s="14" t="s">
        <v>81</v>
      </c>
      <c r="E97" s="14" t="s">
        <v>81</v>
      </c>
      <c r="F97" s="15" t="n">
        <f aca="false">MAX(IFERROR(INDEX(Stations!$B$2:$B$31,MATCH(D97,Stations!$A$2:$A$31,0)),0),IFERROR(INDEX(Stations!$B$2:$B$31,MATCH(E97,Stations!$A$2:$A$31,0)),0))</f>
        <v>3.1</v>
      </c>
      <c r="G97" s="16" t="n">
        <v>20</v>
      </c>
      <c r="H97" s="16" t="n">
        <v>0</v>
      </c>
      <c r="I97" s="16" t="n">
        <v>9</v>
      </c>
      <c r="J97" s="16" t="n">
        <v>300</v>
      </c>
      <c r="K97" s="14" t="s">
        <v>128</v>
      </c>
      <c r="L97" s="14" t="s">
        <v>147</v>
      </c>
      <c r="M97" s="14" t="s">
        <v>231</v>
      </c>
      <c r="N97" s="16" t="n">
        <v>2</v>
      </c>
      <c r="O97" s="16" t="s">
        <v>221</v>
      </c>
      <c r="P97" s="12" t="n">
        <f aca="false">INDEX(Scale!$B$16:$B$26,MATCH(K97,Scale!$A$16:$A$26,0))</f>
        <v>6.3</v>
      </c>
      <c r="Q97" s="15" t="n">
        <f aca="false">I97/3+J97/350</f>
        <v>3.85714285714286</v>
      </c>
      <c r="R97" s="15" t="n">
        <f aca="false">I97/4.2+J97/500</f>
        <v>2.74285714285714</v>
      </c>
      <c r="S97" s="15" t="n">
        <f aca="false">2*F97+2*G97/60+2*H97/60+Q97+1</f>
        <v>11.7238095238095</v>
      </c>
      <c r="T97" s="15" t="n">
        <f aca="false">I97+J97/100</f>
        <v>12</v>
      </c>
      <c r="U97" s="12" t="n">
        <f aca="false">INDEX(Scale!$B$3:$B$12,MATCH(T97,Scale!$A$3:$A$12,1))</f>
        <v>4</v>
      </c>
      <c r="V97" s="12" t="n">
        <f aca="false">INDEX(Scale!$B$30:$B$38,MATCH(L97,Scale!$A$30:$A$38,0))</f>
        <v>0</v>
      </c>
      <c r="W97" s="17" t="n">
        <f aca="false">MAX(U97,V97)</f>
        <v>4</v>
      </c>
      <c r="X97" s="12" t="n">
        <f aca="false">IF(W97&lt;=3,1,IF(W97&lt;=5,2,IF(W97&lt;=7,3,IF(W97&lt;=8,4,5))))</f>
        <v>2</v>
      </c>
      <c r="Y97" s="13" t="str">
        <f aca="false">IF(S97&lt;=13,"1 day",IF(S97&lt;=15,"1 long day","2 days"))</f>
        <v>1 day</v>
      </c>
      <c r="Z97" s="12" t="n">
        <f aca="false">ROUND(P97*130*Q97,-1)</f>
        <v>3160</v>
      </c>
      <c r="AA97" s="12" t="n">
        <f aca="false">ROUND(P97*120*Q97,-1)</f>
        <v>2920</v>
      </c>
      <c r="AB97" s="12" t="n">
        <f aca="false">ROUND(P97*110*Q97,-1)</f>
        <v>2670</v>
      </c>
      <c r="AC97" s="12" t="n">
        <f aca="false">ROUND(P97*100*Q97,-1)</f>
        <v>2430</v>
      </c>
      <c r="AD97" s="10" t="s">
        <v>422</v>
      </c>
      <c r="AE97" s="16"/>
      <c r="AF97" s="16"/>
      <c r="AG97" s="16"/>
    </row>
    <row r="98" customFormat="false" ht="15" hidden="false" customHeight="false" outlineLevel="0" collapsed="false">
      <c r="A98" s="12" t="n">
        <v>97</v>
      </c>
      <c r="B98" s="13" t="s">
        <v>362</v>
      </c>
      <c r="C98" s="10" t="s">
        <v>423</v>
      </c>
      <c r="D98" s="14" t="s">
        <v>81</v>
      </c>
      <c r="E98" s="14" t="s">
        <v>81</v>
      </c>
      <c r="F98" s="15" t="n">
        <f aca="false">MAX(IFERROR(INDEX(Stations!$B$2:$B$31,MATCH(D98,Stations!$A$2:$A$31,0)),0),IFERROR(INDEX(Stations!$B$2:$B$31,MATCH(E98,Stations!$A$2:$A$31,0)),0))</f>
        <v>3.1</v>
      </c>
      <c r="G98" s="16" t="n">
        <v>20</v>
      </c>
      <c r="H98" s="16" t="n">
        <v>0</v>
      </c>
      <c r="I98" s="16" t="n">
        <v>5</v>
      </c>
      <c r="J98" s="16" t="n">
        <v>250</v>
      </c>
      <c r="K98" s="14" t="s">
        <v>140</v>
      </c>
      <c r="L98" s="14" t="s">
        <v>158</v>
      </c>
      <c r="M98" s="14" t="s">
        <v>234</v>
      </c>
      <c r="N98" s="16" t="n">
        <v>3</v>
      </c>
      <c r="O98" s="16" t="s">
        <v>226</v>
      </c>
      <c r="P98" s="12" t="n">
        <f aca="false">INDEX(Scale!$B$16:$B$26,MATCH(K98,Scale!$A$16:$A$26,0))</f>
        <v>8</v>
      </c>
      <c r="Q98" s="15" t="n">
        <f aca="false">I98/3+J98/350</f>
        <v>2.38095238095238</v>
      </c>
      <c r="R98" s="15" t="n">
        <f aca="false">I98/4.2+J98/500</f>
        <v>1.69047619047619</v>
      </c>
      <c r="S98" s="15" t="n">
        <f aca="false">2*F98+2*G98/60+2*H98/60+Q98+1</f>
        <v>10.247619047619</v>
      </c>
      <c r="T98" s="15" t="n">
        <f aca="false">I98+J98/100</f>
        <v>7.5</v>
      </c>
      <c r="U98" s="12" t="n">
        <f aca="false">INDEX(Scale!$B$3:$B$12,MATCH(T98,Scale!$A$3:$A$12,1))</f>
        <v>2</v>
      </c>
      <c r="V98" s="12" t="n">
        <f aca="false">INDEX(Scale!$B$30:$B$38,MATCH(L98,Scale!$A$30:$A$38,0))</f>
        <v>8</v>
      </c>
      <c r="W98" s="17" t="n">
        <f aca="false">MAX(U98,V98)</f>
        <v>8</v>
      </c>
      <c r="X98" s="12" t="n">
        <f aca="false">IF(W98&lt;=3,1,IF(W98&lt;=5,2,IF(W98&lt;=7,3,IF(W98&lt;=8,4,5))))</f>
        <v>4</v>
      </c>
      <c r="Y98" s="13" t="str">
        <f aca="false">IF(S98&lt;=13,"1 day",IF(S98&lt;=15,"1 long day","2 days"))</f>
        <v>1 day</v>
      </c>
      <c r="Z98" s="12" t="n">
        <f aca="false">ROUND(P98*130*Q98,-1)</f>
        <v>2480</v>
      </c>
      <c r="AA98" s="12" t="n">
        <f aca="false">ROUND(P98*120*Q98,-1)</f>
        <v>2290</v>
      </c>
      <c r="AB98" s="12" t="n">
        <f aca="false">ROUND(P98*110*Q98,-1)</f>
        <v>2100</v>
      </c>
      <c r="AC98" s="12" t="n">
        <f aca="false">ROUND(P98*100*Q98,-1)</f>
        <v>1900</v>
      </c>
      <c r="AD98" s="10" t="s">
        <v>424</v>
      </c>
      <c r="AE98" s="16"/>
      <c r="AF98" s="16"/>
      <c r="AG98" s="16"/>
    </row>
    <row r="99" customFormat="false" ht="15" hidden="false" customHeight="false" outlineLevel="0" collapsed="false">
      <c r="A99" s="12" t="n">
        <v>98</v>
      </c>
      <c r="B99" s="13" t="s">
        <v>362</v>
      </c>
      <c r="C99" s="10" t="s">
        <v>425</v>
      </c>
      <c r="D99" s="14" t="s">
        <v>81</v>
      </c>
      <c r="E99" s="14" t="s">
        <v>81</v>
      </c>
      <c r="F99" s="15" t="n">
        <f aca="false">MAX(IFERROR(INDEX(Stations!$B$2:$B$31,MATCH(D99,Stations!$A$2:$A$31,0)),0),IFERROR(INDEX(Stations!$B$2:$B$31,MATCH(E99,Stations!$A$2:$A$31,0)),0))</f>
        <v>3.1</v>
      </c>
      <c r="G99" s="16" t="n">
        <v>20</v>
      </c>
      <c r="H99" s="16" t="n">
        <v>0</v>
      </c>
      <c r="I99" s="16" t="n">
        <v>7</v>
      </c>
      <c r="J99" s="16" t="n">
        <v>350</v>
      </c>
      <c r="K99" s="14" t="s">
        <v>130</v>
      </c>
      <c r="L99" s="14" t="s">
        <v>153</v>
      </c>
      <c r="M99" s="14" t="s">
        <v>234</v>
      </c>
      <c r="N99" s="16" t="n">
        <v>4</v>
      </c>
      <c r="O99" s="16" t="s">
        <v>226</v>
      </c>
      <c r="P99" s="12" t="n">
        <f aca="false">INDEX(Scale!$B$16:$B$26,MATCH(K99,Scale!$A$16:$A$26,0))</f>
        <v>7</v>
      </c>
      <c r="Q99" s="15" t="n">
        <f aca="false">I99/3+J99/350</f>
        <v>3.33333333333333</v>
      </c>
      <c r="R99" s="15" t="n">
        <f aca="false">I99/4.2+J99/500</f>
        <v>2.36666666666667</v>
      </c>
      <c r="S99" s="15" t="n">
        <f aca="false">2*F99+2*G99/60+2*H99/60+Q99+1</f>
        <v>11.2</v>
      </c>
      <c r="T99" s="15" t="n">
        <f aca="false">I99+J99/100</f>
        <v>10.5</v>
      </c>
      <c r="U99" s="12" t="n">
        <f aca="false">INDEX(Scale!$B$3:$B$12,MATCH(T99,Scale!$A$3:$A$12,1))</f>
        <v>3</v>
      </c>
      <c r="V99" s="12" t="n">
        <f aca="false">INDEX(Scale!$B$30:$B$38,MATCH(L99,Scale!$A$30:$A$38,0))</f>
        <v>6</v>
      </c>
      <c r="W99" s="17" t="n">
        <f aca="false">MAX(U99,V99)</f>
        <v>6</v>
      </c>
      <c r="X99" s="12" t="n">
        <f aca="false">IF(W99&lt;=3,1,IF(W99&lt;=5,2,IF(W99&lt;=7,3,IF(W99&lt;=8,4,5))))</f>
        <v>3</v>
      </c>
      <c r="Y99" s="13" t="str">
        <f aca="false">IF(S99&lt;=13,"1 day",IF(S99&lt;=15,"1 long day","2 days"))</f>
        <v>1 day</v>
      </c>
      <c r="Z99" s="12" t="n">
        <f aca="false">ROUND(P99*130*Q99,-1)</f>
        <v>3030</v>
      </c>
      <c r="AA99" s="12" t="n">
        <f aca="false">ROUND(P99*120*Q99,-1)</f>
        <v>2800</v>
      </c>
      <c r="AB99" s="12" t="n">
        <f aca="false">ROUND(P99*110*Q99,-1)</f>
        <v>2570</v>
      </c>
      <c r="AC99" s="12" t="n">
        <f aca="false">ROUND(P99*100*Q99,-1)</f>
        <v>2330</v>
      </c>
      <c r="AD99" s="10" t="s">
        <v>426</v>
      </c>
      <c r="AE99" s="16"/>
      <c r="AF99" s="16"/>
      <c r="AG99" s="16"/>
    </row>
    <row r="100" customFormat="false" ht="15" hidden="false" customHeight="false" outlineLevel="0" collapsed="false">
      <c r="A100" s="12" t="n">
        <v>99</v>
      </c>
      <c r="B100" s="13" t="s">
        <v>388</v>
      </c>
      <c r="C100" s="10" t="s">
        <v>427</v>
      </c>
      <c r="D100" s="14" t="s">
        <v>81</v>
      </c>
      <c r="E100" s="14" t="s">
        <v>81</v>
      </c>
      <c r="F100" s="15" t="n">
        <f aca="false">MAX(IFERROR(INDEX(Stations!$B$2:$B$31,MATCH(D100,Stations!$A$2:$A$31,0)),0),IFERROR(INDEX(Stations!$B$2:$B$31,MATCH(E100,Stations!$A$2:$A$31,0)),0))</f>
        <v>3.1</v>
      </c>
      <c r="G100" s="16" t="n">
        <v>15</v>
      </c>
      <c r="H100" s="16" t="n">
        <v>0</v>
      </c>
      <c r="I100" s="16" t="n">
        <v>14</v>
      </c>
      <c r="J100" s="16" t="n">
        <v>950</v>
      </c>
      <c r="K100" s="14" t="s">
        <v>128</v>
      </c>
      <c r="L100" s="14" t="s">
        <v>147</v>
      </c>
      <c r="M100" s="14" t="s">
        <v>239</v>
      </c>
      <c r="N100" s="16" t="n">
        <v>4</v>
      </c>
      <c r="O100" s="16" t="s">
        <v>226</v>
      </c>
      <c r="P100" s="12" t="n">
        <f aca="false">INDEX(Scale!$B$16:$B$26,MATCH(K100,Scale!$A$16:$A$26,0))</f>
        <v>6.3</v>
      </c>
      <c r="Q100" s="15" t="n">
        <f aca="false">I100/3+J100/350</f>
        <v>7.38095238095238</v>
      </c>
      <c r="R100" s="15" t="n">
        <f aca="false">I100/4.2+J100/500</f>
        <v>5.23333333333333</v>
      </c>
      <c r="S100" s="15" t="n">
        <f aca="false">2*F100+2*G100/60+2*H100/60+Q100+1</f>
        <v>15.0809523809524</v>
      </c>
      <c r="T100" s="15" t="n">
        <f aca="false">I100+J100/100</f>
        <v>23.5</v>
      </c>
      <c r="U100" s="12" t="n">
        <f aca="false">INDEX(Scale!$B$3:$B$12,MATCH(T100,Scale!$A$3:$A$12,1))</f>
        <v>6</v>
      </c>
      <c r="V100" s="12" t="n">
        <f aca="false">INDEX(Scale!$B$30:$B$38,MATCH(L100,Scale!$A$30:$A$38,0))</f>
        <v>0</v>
      </c>
      <c r="W100" s="17" t="n">
        <f aca="false">MAX(U100,V100)</f>
        <v>6</v>
      </c>
      <c r="X100" s="12" t="n">
        <f aca="false">IF(W100&lt;=3,1,IF(W100&lt;=5,2,IF(W100&lt;=7,3,IF(W100&lt;=8,4,5))))</f>
        <v>3</v>
      </c>
      <c r="Y100" s="13" t="str">
        <f aca="false">IF(S100&lt;=13,"1 day",IF(S100&lt;=15,"1 long day","2 days"))</f>
        <v>2 days</v>
      </c>
      <c r="Z100" s="12" t="n">
        <f aca="false">ROUND(P100*130*Q100,-1)</f>
        <v>6050</v>
      </c>
      <c r="AA100" s="12" t="n">
        <f aca="false">ROUND(P100*120*Q100,-1)</f>
        <v>5580</v>
      </c>
      <c r="AB100" s="12" t="n">
        <f aca="false">ROUND(P100*110*Q100,-1)</f>
        <v>5120</v>
      </c>
      <c r="AC100" s="12" t="n">
        <f aca="false">ROUND(P100*100*Q100,-1)</f>
        <v>4650</v>
      </c>
      <c r="AD100" s="10" t="s">
        <v>428</v>
      </c>
      <c r="AE100" s="16"/>
      <c r="AF100" s="16"/>
      <c r="AG100" s="16"/>
    </row>
    <row r="101" customFormat="false" ht="15" hidden="false" customHeight="false" outlineLevel="0" collapsed="false">
      <c r="A101" s="12" t="n">
        <v>100</v>
      </c>
      <c r="B101" s="13" t="s">
        <v>218</v>
      </c>
      <c r="C101" s="10" t="s">
        <v>429</v>
      </c>
      <c r="D101" s="14" t="s">
        <v>81</v>
      </c>
      <c r="E101" s="14" t="s">
        <v>81</v>
      </c>
      <c r="F101" s="15" t="n">
        <f aca="false">MAX(IFERROR(INDEX(Stations!$B$2:$B$31,MATCH(D101,Stations!$A$2:$A$31,0)),0),IFERROR(INDEX(Stations!$B$2:$B$31,MATCH(E101,Stations!$A$2:$A$31,0)),0))</f>
        <v>3.1</v>
      </c>
      <c r="G101" s="16" t="n">
        <v>25</v>
      </c>
      <c r="H101" s="16" t="n">
        <v>0</v>
      </c>
      <c r="I101" s="16" t="n">
        <v>18</v>
      </c>
      <c r="J101" s="16" t="n">
        <v>1000</v>
      </c>
      <c r="K101" s="14" t="s">
        <v>128</v>
      </c>
      <c r="L101" s="14" t="s">
        <v>147</v>
      </c>
      <c r="M101" s="14" t="s">
        <v>239</v>
      </c>
      <c r="N101" s="16" t="n">
        <v>4</v>
      </c>
      <c r="O101" s="16" t="s">
        <v>226</v>
      </c>
      <c r="P101" s="12" t="n">
        <f aca="false">INDEX(Scale!$B$16:$B$26,MATCH(K101,Scale!$A$16:$A$26,0))</f>
        <v>6.3</v>
      </c>
      <c r="Q101" s="15" t="n">
        <f aca="false">I101/3+J101/350</f>
        <v>8.85714285714286</v>
      </c>
      <c r="R101" s="15" t="n">
        <f aca="false">I101/4.2+J101/500</f>
        <v>6.28571428571429</v>
      </c>
      <c r="S101" s="15" t="n">
        <f aca="false">2*F101+2*G101/60+2*H101/60+Q101+1</f>
        <v>16.8904761904762</v>
      </c>
      <c r="T101" s="15" t="n">
        <f aca="false">I101+J101/100</f>
        <v>28</v>
      </c>
      <c r="U101" s="12" t="n">
        <f aca="false">INDEX(Scale!$B$3:$B$12,MATCH(T101,Scale!$A$3:$A$12,1))</f>
        <v>7</v>
      </c>
      <c r="V101" s="12" t="n">
        <f aca="false">INDEX(Scale!$B$30:$B$38,MATCH(L101,Scale!$A$30:$A$38,0))</f>
        <v>0</v>
      </c>
      <c r="W101" s="17" t="n">
        <f aca="false">MAX(U101,V101)</f>
        <v>7</v>
      </c>
      <c r="X101" s="12" t="n">
        <f aca="false">IF(W101&lt;=3,1,IF(W101&lt;=5,2,IF(W101&lt;=7,3,IF(W101&lt;=8,4,5))))</f>
        <v>3</v>
      </c>
      <c r="Y101" s="13" t="str">
        <f aca="false">IF(S101&lt;=13,"1 day",IF(S101&lt;=15,"1 long day","2 days"))</f>
        <v>2 days</v>
      </c>
      <c r="Z101" s="12" t="n">
        <f aca="false">ROUND(P101*130*Q101,-1)</f>
        <v>7250</v>
      </c>
      <c r="AA101" s="12" t="n">
        <f aca="false">ROUND(P101*120*Q101,-1)</f>
        <v>6700</v>
      </c>
      <c r="AB101" s="12" t="n">
        <f aca="false">ROUND(P101*110*Q101,-1)</f>
        <v>6140</v>
      </c>
      <c r="AC101" s="12" t="n">
        <f aca="false">ROUND(P101*100*Q101,-1)</f>
        <v>5580</v>
      </c>
      <c r="AD101" s="10" t="s">
        <v>430</v>
      </c>
      <c r="AE101" s="16"/>
      <c r="AF101" s="16"/>
      <c r="AG101" s="16"/>
    </row>
    <row r="102" customFormat="false" ht="15" hidden="false" customHeight="false" outlineLevel="0" collapsed="false">
      <c r="A102" s="12" t="n">
        <v>101</v>
      </c>
      <c r="B102" s="13" t="s">
        <v>218</v>
      </c>
      <c r="C102" s="10" t="s">
        <v>431</v>
      </c>
      <c r="D102" s="14" t="s">
        <v>81</v>
      </c>
      <c r="E102" s="14" t="s">
        <v>81</v>
      </c>
      <c r="F102" s="15" t="n">
        <f aca="false">MAX(IFERROR(INDEX(Stations!$B$2:$B$31,MATCH(D102,Stations!$A$2:$A$31,0)),0),IFERROR(INDEX(Stations!$B$2:$B$31,MATCH(E102,Stations!$A$2:$A$31,0)),0))</f>
        <v>3.1</v>
      </c>
      <c r="G102" s="16" t="n">
        <v>25</v>
      </c>
      <c r="H102" s="16" t="n">
        <v>0</v>
      </c>
      <c r="I102" s="16" t="n">
        <v>24</v>
      </c>
      <c r="J102" s="16" t="n">
        <v>1900</v>
      </c>
      <c r="K102" s="14" t="s">
        <v>136</v>
      </c>
      <c r="L102" s="14" t="s">
        <v>136</v>
      </c>
      <c r="M102" s="14" t="s">
        <v>286</v>
      </c>
      <c r="N102" s="16" t="n">
        <v>4</v>
      </c>
      <c r="O102" s="16" t="s">
        <v>226</v>
      </c>
      <c r="P102" s="12" t="n">
        <f aca="false">INDEX(Scale!$B$16:$B$26,MATCH(K102,Scale!$A$16:$A$26,0))</f>
        <v>7.5</v>
      </c>
      <c r="Q102" s="15" t="n">
        <f aca="false">I102/3+J102/350</f>
        <v>13.4285714285714</v>
      </c>
      <c r="R102" s="15" t="n">
        <f aca="false">I102/4.2+J102/500</f>
        <v>9.51428571428571</v>
      </c>
      <c r="S102" s="15" t="n">
        <f aca="false">2*F102+2*G102/60+2*H102/60+Q102+1</f>
        <v>21.4619047619048</v>
      </c>
      <c r="T102" s="15" t="n">
        <f aca="false">I102+J102/100</f>
        <v>43</v>
      </c>
      <c r="U102" s="12" t="n">
        <f aca="false">INDEX(Scale!$B$3:$B$12,MATCH(T102,Scale!$A$3:$A$12,1))</f>
        <v>9</v>
      </c>
      <c r="V102" s="12" t="n">
        <f aca="false">INDEX(Scale!$B$30:$B$38,MATCH(L102,Scale!$A$30:$A$38,0))</f>
        <v>5</v>
      </c>
      <c r="W102" s="17" t="n">
        <f aca="false">MAX(U102,V102)</f>
        <v>9</v>
      </c>
      <c r="X102" s="12" t="n">
        <f aca="false">IF(W102&lt;=3,1,IF(W102&lt;=5,2,IF(W102&lt;=7,3,IF(W102&lt;=8,4,5))))</f>
        <v>5</v>
      </c>
      <c r="Y102" s="13" t="str">
        <f aca="false">IF(S102&lt;=13,"1 day",IF(S102&lt;=15,"1 long day","2 days"))</f>
        <v>2 days</v>
      </c>
      <c r="Z102" s="12" t="n">
        <f aca="false">ROUND(P102*130*Q102,-1)</f>
        <v>13090</v>
      </c>
      <c r="AA102" s="12" t="n">
        <f aca="false">ROUND(P102*120*Q102,-1)</f>
        <v>12090</v>
      </c>
      <c r="AB102" s="12" t="n">
        <f aca="false">ROUND(P102*110*Q102,-1)</f>
        <v>11080</v>
      </c>
      <c r="AC102" s="12" t="n">
        <f aca="false">ROUND(P102*100*Q102,-1)</f>
        <v>10070</v>
      </c>
      <c r="AD102" s="10" t="s">
        <v>432</v>
      </c>
      <c r="AE102" s="16"/>
      <c r="AF102" s="16"/>
      <c r="AG102" s="16"/>
    </row>
    <row r="103" customFormat="false" ht="15" hidden="false" customHeight="false" outlineLevel="0" collapsed="false">
      <c r="A103" s="12" t="n">
        <v>102</v>
      </c>
      <c r="B103" s="13" t="s">
        <v>218</v>
      </c>
      <c r="C103" s="10" t="s">
        <v>433</v>
      </c>
      <c r="D103" s="14" t="s">
        <v>81</v>
      </c>
      <c r="E103" s="14" t="s">
        <v>81</v>
      </c>
      <c r="F103" s="15" t="n">
        <f aca="false">MAX(IFERROR(INDEX(Stations!$B$2:$B$31,MATCH(D103,Stations!$A$2:$A$31,0)),0),IFERROR(INDEX(Stations!$B$2:$B$31,MATCH(E103,Stations!$A$2:$A$31,0)),0))</f>
        <v>3.1</v>
      </c>
      <c r="G103" s="16" t="n">
        <v>25</v>
      </c>
      <c r="H103" s="16" t="n">
        <v>0</v>
      </c>
      <c r="I103" s="16" t="n">
        <v>22</v>
      </c>
      <c r="J103" s="16" t="n">
        <v>1750</v>
      </c>
      <c r="K103" s="14" t="s">
        <v>138</v>
      </c>
      <c r="L103" s="14" t="s">
        <v>138</v>
      </c>
      <c r="M103" s="14" t="s">
        <v>286</v>
      </c>
      <c r="N103" s="16" t="n">
        <v>5</v>
      </c>
      <c r="O103" s="16" t="s">
        <v>226</v>
      </c>
      <c r="P103" s="12" t="n">
        <f aca="false">INDEX(Scale!$B$16:$B$26,MATCH(K103,Scale!$A$16:$A$26,0))</f>
        <v>7.5</v>
      </c>
      <c r="Q103" s="15" t="n">
        <f aca="false">I103/3+J103/350</f>
        <v>12.3333333333333</v>
      </c>
      <c r="R103" s="15" t="n">
        <f aca="false">I103/4.2+J103/500</f>
        <v>8.73809523809524</v>
      </c>
      <c r="S103" s="15" t="n">
        <f aca="false">2*F103+2*G103/60+2*H103/60+Q103+1</f>
        <v>20.3666666666667</v>
      </c>
      <c r="T103" s="15" t="n">
        <f aca="false">I103+J103/100</f>
        <v>39.5</v>
      </c>
      <c r="U103" s="12" t="n">
        <f aca="false">INDEX(Scale!$B$3:$B$12,MATCH(T103,Scale!$A$3:$A$12,1))</f>
        <v>8</v>
      </c>
      <c r="V103" s="12" t="n">
        <f aca="false">INDEX(Scale!$B$30:$B$38,MATCH(L103,Scale!$A$30:$A$38,0))</f>
        <v>8</v>
      </c>
      <c r="W103" s="17" t="n">
        <f aca="false">MAX(U103,V103)</f>
        <v>8</v>
      </c>
      <c r="X103" s="12" t="n">
        <f aca="false">IF(W103&lt;=3,1,IF(W103&lt;=5,2,IF(W103&lt;=7,3,IF(W103&lt;=8,4,5))))</f>
        <v>4</v>
      </c>
      <c r="Y103" s="13" t="str">
        <f aca="false">IF(S103&lt;=13,"1 day",IF(S103&lt;=15,"1 long day","2 days"))</f>
        <v>2 days</v>
      </c>
      <c r="Z103" s="12" t="n">
        <f aca="false">ROUND(P103*130*Q103,-1)</f>
        <v>12030</v>
      </c>
      <c r="AA103" s="12" t="n">
        <f aca="false">ROUND(P103*120*Q103,-1)</f>
        <v>11100</v>
      </c>
      <c r="AB103" s="12" t="n">
        <f aca="false">ROUND(P103*110*Q103,-1)</f>
        <v>10180</v>
      </c>
      <c r="AC103" s="12" t="n">
        <f aca="false">ROUND(P103*100*Q103,-1)</f>
        <v>9250</v>
      </c>
      <c r="AD103" s="10" t="s">
        <v>434</v>
      </c>
      <c r="AE103" s="16"/>
      <c r="AF103" s="16"/>
      <c r="AG103" s="16"/>
    </row>
    <row r="104" customFormat="false" ht="15" hidden="false" customHeight="false" outlineLevel="0" collapsed="false">
      <c r="A104" s="12" t="n">
        <v>103</v>
      </c>
      <c r="B104" s="13" t="s">
        <v>362</v>
      </c>
      <c r="C104" s="10" t="s">
        <v>435</v>
      </c>
      <c r="D104" s="14" t="s">
        <v>81</v>
      </c>
      <c r="E104" s="14" t="s">
        <v>68</v>
      </c>
      <c r="F104" s="15" t="n">
        <f aca="false">MAX(IFERROR(INDEX(Stations!$B$2:$B$31,MATCH(D104,Stations!$A$2:$A$31,0)),0),IFERROR(INDEX(Stations!$B$2:$B$31,MATCH(E104,Stations!$A$2:$A$31,0)),0))</f>
        <v>3.1</v>
      </c>
      <c r="G104" s="16" t="n">
        <v>20</v>
      </c>
      <c r="H104" s="16" t="n">
        <v>0</v>
      </c>
      <c r="I104" s="16" t="n">
        <v>15</v>
      </c>
      <c r="J104" s="16" t="n">
        <v>450</v>
      </c>
      <c r="K104" s="14" t="s">
        <v>126</v>
      </c>
      <c r="L104" s="14" t="s">
        <v>147</v>
      </c>
      <c r="M104" s="14" t="s">
        <v>220</v>
      </c>
      <c r="N104" s="16" t="n">
        <v>4</v>
      </c>
      <c r="O104" s="16" t="s">
        <v>226</v>
      </c>
      <c r="P104" s="12" t="n">
        <f aca="false">INDEX(Scale!$B$16:$B$26,MATCH(K104,Scale!$A$16:$A$26,0))</f>
        <v>5.5</v>
      </c>
      <c r="Q104" s="15" t="n">
        <f aca="false">I104/3+J104/350</f>
        <v>6.28571428571429</v>
      </c>
      <c r="R104" s="15" t="n">
        <f aca="false">I104/4.2+J104/500</f>
        <v>4.47142857142857</v>
      </c>
      <c r="S104" s="15" t="n">
        <f aca="false">2*F104+2*G104/60+2*H104/60+Q104+1</f>
        <v>14.152380952381</v>
      </c>
      <c r="T104" s="15" t="n">
        <f aca="false">I104+J104/100</f>
        <v>19.5</v>
      </c>
      <c r="U104" s="12" t="n">
        <f aca="false">INDEX(Scale!$B$3:$B$12,MATCH(T104,Scale!$A$3:$A$12,1))</f>
        <v>5</v>
      </c>
      <c r="V104" s="12" t="n">
        <f aca="false">INDEX(Scale!$B$30:$B$38,MATCH(L104,Scale!$A$30:$A$38,0))</f>
        <v>0</v>
      </c>
      <c r="W104" s="17" t="n">
        <f aca="false">MAX(U104,V104)</f>
        <v>5</v>
      </c>
      <c r="X104" s="12" t="n">
        <f aca="false">IF(W104&lt;=3,1,IF(W104&lt;=5,2,IF(W104&lt;=7,3,IF(W104&lt;=8,4,5))))</f>
        <v>2</v>
      </c>
      <c r="Y104" s="13" t="str">
        <f aca="false">IF(S104&lt;=13,"1 day",IF(S104&lt;=15,"1 long day","2 days"))</f>
        <v>1 long day</v>
      </c>
      <c r="Z104" s="12" t="n">
        <f aca="false">ROUND(P104*130*Q104,-1)</f>
        <v>4490</v>
      </c>
      <c r="AA104" s="12" t="n">
        <f aca="false">ROUND(P104*120*Q104,-1)</f>
        <v>4150</v>
      </c>
      <c r="AB104" s="12" t="n">
        <f aca="false">ROUND(P104*110*Q104,-1)</f>
        <v>3800</v>
      </c>
      <c r="AC104" s="12" t="n">
        <f aca="false">ROUND(P104*100*Q104,-1)</f>
        <v>3460</v>
      </c>
      <c r="AD104" s="10" t="s">
        <v>436</v>
      </c>
      <c r="AE104" s="16"/>
      <c r="AF104" s="16"/>
      <c r="AG104" s="16"/>
    </row>
    <row r="105" customFormat="false" ht="15" hidden="false" customHeight="false" outlineLevel="0" collapsed="false">
      <c r="A105" s="12" t="n">
        <v>104</v>
      </c>
      <c r="B105" s="13" t="s">
        <v>388</v>
      </c>
      <c r="C105" s="10" t="s">
        <v>437</v>
      </c>
      <c r="D105" s="14" t="s">
        <v>81</v>
      </c>
      <c r="E105" s="14" t="s">
        <v>72</v>
      </c>
      <c r="F105" s="15" t="n">
        <f aca="false">MAX(IFERROR(INDEX(Stations!$B$2:$B$31,MATCH(D105,Stations!$A$2:$A$31,0)),0),IFERROR(INDEX(Stations!$B$2:$B$31,MATCH(E105,Stations!$A$2:$A$31,0)),0))</f>
        <v>3.1</v>
      </c>
      <c r="G105" s="16" t="n">
        <v>15</v>
      </c>
      <c r="H105" s="16" t="n">
        <v>0</v>
      </c>
      <c r="I105" s="16" t="n">
        <v>13</v>
      </c>
      <c r="J105" s="16" t="n">
        <v>700</v>
      </c>
      <c r="K105" s="14" t="s">
        <v>126</v>
      </c>
      <c r="L105" s="14" t="s">
        <v>147</v>
      </c>
      <c r="M105" s="14" t="s">
        <v>220</v>
      </c>
      <c r="N105" s="16" t="n">
        <v>3</v>
      </c>
      <c r="O105" s="16" t="s">
        <v>226</v>
      </c>
      <c r="P105" s="12" t="n">
        <f aca="false">INDEX(Scale!$B$16:$B$26,MATCH(K105,Scale!$A$16:$A$26,0))</f>
        <v>5.5</v>
      </c>
      <c r="Q105" s="15" t="n">
        <f aca="false">I105/3+J105/350</f>
        <v>6.33333333333333</v>
      </c>
      <c r="R105" s="15" t="n">
        <f aca="false">I105/4.2+J105/500</f>
        <v>4.4952380952381</v>
      </c>
      <c r="S105" s="15" t="n">
        <f aca="false">2*F105+2*G105/60+2*H105/60+Q105+1</f>
        <v>14.0333333333333</v>
      </c>
      <c r="T105" s="15" t="n">
        <f aca="false">I105+J105/100</f>
        <v>20</v>
      </c>
      <c r="U105" s="12" t="n">
        <f aca="false">INDEX(Scale!$B$3:$B$12,MATCH(T105,Scale!$A$3:$A$12,1))</f>
        <v>5</v>
      </c>
      <c r="V105" s="12" t="n">
        <f aca="false">INDEX(Scale!$B$30:$B$38,MATCH(L105,Scale!$A$30:$A$38,0))</f>
        <v>0</v>
      </c>
      <c r="W105" s="17" t="n">
        <f aca="false">MAX(U105,V105)</f>
        <v>5</v>
      </c>
      <c r="X105" s="12" t="n">
        <f aca="false">IF(W105&lt;=3,1,IF(W105&lt;=5,2,IF(W105&lt;=7,3,IF(W105&lt;=8,4,5))))</f>
        <v>2</v>
      </c>
      <c r="Y105" s="13" t="str">
        <f aca="false">IF(S105&lt;=13,"1 day",IF(S105&lt;=15,"1 long day","2 days"))</f>
        <v>1 long day</v>
      </c>
      <c r="Z105" s="12" t="n">
        <f aca="false">ROUND(P105*130*Q105,-1)</f>
        <v>4530</v>
      </c>
      <c r="AA105" s="12" t="n">
        <f aca="false">ROUND(P105*120*Q105,-1)</f>
        <v>4180</v>
      </c>
      <c r="AB105" s="12" t="n">
        <f aca="false">ROUND(P105*110*Q105,-1)</f>
        <v>3830</v>
      </c>
      <c r="AC105" s="12" t="n">
        <f aca="false">ROUND(P105*100*Q105,-1)</f>
        <v>3480</v>
      </c>
      <c r="AD105" s="10" t="s">
        <v>438</v>
      </c>
      <c r="AE105" s="16"/>
      <c r="AF105" s="16"/>
      <c r="AG105" s="16"/>
    </row>
    <row r="106" customFormat="false" ht="15" hidden="false" customHeight="false" outlineLevel="0" collapsed="false">
      <c r="A106" s="12" t="n">
        <v>105</v>
      </c>
      <c r="B106" s="13" t="s">
        <v>439</v>
      </c>
      <c r="C106" s="10" t="s">
        <v>440</v>
      </c>
      <c r="D106" s="14" t="s">
        <v>83</v>
      </c>
      <c r="E106" s="14" t="s">
        <v>83</v>
      </c>
      <c r="F106" s="15" t="n">
        <f aca="false">MAX(IFERROR(INDEX(Stations!$B$2:$B$31,MATCH(D106,Stations!$A$2:$A$31,0)),0),IFERROR(INDEX(Stations!$B$2:$B$31,MATCH(E106,Stations!$A$2:$A$31,0)),0))</f>
        <v>3.4</v>
      </c>
      <c r="G106" s="16" t="n">
        <v>40</v>
      </c>
      <c r="H106" s="16" t="n">
        <v>0</v>
      </c>
      <c r="I106" s="16" t="n">
        <v>11</v>
      </c>
      <c r="J106" s="16" t="n">
        <v>650</v>
      </c>
      <c r="K106" s="14" t="s">
        <v>128</v>
      </c>
      <c r="L106" s="14" t="s">
        <v>147</v>
      </c>
      <c r="M106" s="14" t="s">
        <v>234</v>
      </c>
      <c r="N106" s="16" t="n">
        <v>1</v>
      </c>
      <c r="O106" s="16" t="s">
        <v>221</v>
      </c>
      <c r="P106" s="12" t="n">
        <f aca="false">INDEX(Scale!$B$16:$B$26,MATCH(K106,Scale!$A$16:$A$26,0))</f>
        <v>6.3</v>
      </c>
      <c r="Q106" s="15" t="n">
        <f aca="false">I106/3+J106/350</f>
        <v>5.52380952380952</v>
      </c>
      <c r="R106" s="15" t="n">
        <f aca="false">I106/4.2+J106/500</f>
        <v>3.91904761904762</v>
      </c>
      <c r="S106" s="15" t="n">
        <f aca="false">2*F106+2*G106/60+2*H106/60+Q106+1</f>
        <v>14.6571428571429</v>
      </c>
      <c r="T106" s="15" t="n">
        <f aca="false">I106+J106/100</f>
        <v>17.5</v>
      </c>
      <c r="U106" s="12" t="n">
        <f aca="false">INDEX(Scale!$B$3:$B$12,MATCH(T106,Scale!$A$3:$A$12,1))</f>
        <v>5</v>
      </c>
      <c r="V106" s="12" t="n">
        <f aca="false">INDEX(Scale!$B$30:$B$38,MATCH(L106,Scale!$A$30:$A$38,0))</f>
        <v>0</v>
      </c>
      <c r="W106" s="17" t="n">
        <f aca="false">MAX(U106,V106)</f>
        <v>5</v>
      </c>
      <c r="X106" s="12" t="n">
        <f aca="false">IF(W106&lt;=3,1,IF(W106&lt;=5,2,IF(W106&lt;=7,3,IF(W106&lt;=8,4,5))))</f>
        <v>2</v>
      </c>
      <c r="Y106" s="13" t="str">
        <f aca="false">IF(S106&lt;=13,"1 day",IF(S106&lt;=15,"1 long day","2 days"))</f>
        <v>1 long day</v>
      </c>
      <c r="Z106" s="12" t="n">
        <f aca="false">ROUND(P106*130*Q106,-1)</f>
        <v>4520</v>
      </c>
      <c r="AA106" s="12" t="n">
        <f aca="false">ROUND(P106*120*Q106,-1)</f>
        <v>4180</v>
      </c>
      <c r="AB106" s="12" t="n">
        <f aca="false">ROUND(P106*110*Q106,-1)</f>
        <v>3830</v>
      </c>
      <c r="AC106" s="12" t="n">
        <f aca="false">ROUND(P106*100*Q106,-1)</f>
        <v>3480</v>
      </c>
      <c r="AD106" s="10" t="s">
        <v>441</v>
      </c>
      <c r="AE106" s="16"/>
      <c r="AF106" s="16"/>
      <c r="AG106" s="16"/>
    </row>
    <row r="107" customFormat="false" ht="15" hidden="false" customHeight="false" outlineLevel="0" collapsed="false">
      <c r="A107" s="12" t="n">
        <v>106</v>
      </c>
      <c r="B107" s="13" t="s">
        <v>439</v>
      </c>
      <c r="C107" s="10" t="s">
        <v>442</v>
      </c>
      <c r="D107" s="14" t="s">
        <v>83</v>
      </c>
      <c r="E107" s="14" t="s">
        <v>83</v>
      </c>
      <c r="F107" s="15" t="n">
        <f aca="false">MAX(IFERROR(INDEX(Stations!$B$2:$B$31,MATCH(D107,Stations!$A$2:$A$31,0)),0),IFERROR(INDEX(Stations!$B$2:$B$31,MATCH(E107,Stations!$A$2:$A$31,0)),0))</f>
        <v>3.4</v>
      </c>
      <c r="G107" s="16" t="n">
        <v>40</v>
      </c>
      <c r="H107" s="16" t="n">
        <v>0</v>
      </c>
      <c r="I107" s="16" t="n">
        <v>13</v>
      </c>
      <c r="J107" s="16" t="n">
        <v>800</v>
      </c>
      <c r="K107" s="14" t="s">
        <v>130</v>
      </c>
      <c r="L107" s="14" t="s">
        <v>149</v>
      </c>
      <c r="M107" s="14" t="s">
        <v>234</v>
      </c>
      <c r="N107" s="16" t="n">
        <v>2</v>
      </c>
      <c r="O107" s="16" t="s">
        <v>221</v>
      </c>
      <c r="P107" s="12" t="n">
        <f aca="false">INDEX(Scale!$B$16:$B$26,MATCH(K107,Scale!$A$16:$A$26,0))</f>
        <v>7</v>
      </c>
      <c r="Q107" s="15" t="n">
        <f aca="false">I107/3+J107/350</f>
        <v>6.61904761904762</v>
      </c>
      <c r="R107" s="15" t="n">
        <f aca="false">I107/4.2+J107/500</f>
        <v>4.69523809523809</v>
      </c>
      <c r="S107" s="15" t="n">
        <f aca="false">2*F107+2*G107/60+2*H107/60+Q107+1</f>
        <v>15.752380952381</v>
      </c>
      <c r="T107" s="15" t="n">
        <f aca="false">I107+J107/100</f>
        <v>21</v>
      </c>
      <c r="U107" s="12" t="n">
        <f aca="false">INDEX(Scale!$B$3:$B$12,MATCH(T107,Scale!$A$3:$A$12,1))</f>
        <v>6</v>
      </c>
      <c r="V107" s="12" t="n">
        <f aca="false">INDEX(Scale!$B$30:$B$38,MATCH(L107,Scale!$A$30:$A$38,0))</f>
        <v>3</v>
      </c>
      <c r="W107" s="17" t="n">
        <f aca="false">MAX(U107,V107)</f>
        <v>6</v>
      </c>
      <c r="X107" s="12" t="n">
        <f aca="false">IF(W107&lt;=3,1,IF(W107&lt;=5,2,IF(W107&lt;=7,3,IF(W107&lt;=8,4,5))))</f>
        <v>3</v>
      </c>
      <c r="Y107" s="13" t="str">
        <f aca="false">IF(S107&lt;=13,"1 day",IF(S107&lt;=15,"1 long day","2 days"))</f>
        <v>2 days</v>
      </c>
      <c r="Z107" s="12" t="n">
        <f aca="false">ROUND(P107*130*Q107,-1)</f>
        <v>6020</v>
      </c>
      <c r="AA107" s="12" t="n">
        <f aca="false">ROUND(P107*120*Q107,-1)</f>
        <v>5560</v>
      </c>
      <c r="AB107" s="12" t="n">
        <f aca="false">ROUND(P107*110*Q107,-1)</f>
        <v>5100</v>
      </c>
      <c r="AC107" s="12" t="n">
        <f aca="false">ROUND(P107*100*Q107,-1)</f>
        <v>4630</v>
      </c>
      <c r="AD107" s="10" t="s">
        <v>443</v>
      </c>
      <c r="AE107" s="16"/>
      <c r="AF107" s="16"/>
      <c r="AG107" s="16"/>
    </row>
    <row r="108" customFormat="false" ht="15" hidden="false" customHeight="false" outlineLevel="0" collapsed="false">
      <c r="A108" s="12" t="n">
        <v>107</v>
      </c>
      <c r="B108" s="13" t="s">
        <v>439</v>
      </c>
      <c r="C108" s="10" t="s">
        <v>444</v>
      </c>
      <c r="D108" s="14" t="s">
        <v>83</v>
      </c>
      <c r="E108" s="14" t="s">
        <v>83</v>
      </c>
      <c r="F108" s="15" t="n">
        <f aca="false">MAX(IFERROR(INDEX(Stations!$B$2:$B$31,MATCH(D108,Stations!$A$2:$A$31,0)),0),IFERROR(INDEX(Stations!$B$2:$B$31,MATCH(E108,Stations!$A$2:$A$31,0)),0))</f>
        <v>3.4</v>
      </c>
      <c r="G108" s="16" t="n">
        <v>40</v>
      </c>
      <c r="H108" s="16" t="n">
        <v>0</v>
      </c>
      <c r="I108" s="16" t="n">
        <v>14</v>
      </c>
      <c r="J108" s="16" t="n">
        <v>900</v>
      </c>
      <c r="K108" s="14" t="s">
        <v>130</v>
      </c>
      <c r="L108" s="14" t="s">
        <v>136</v>
      </c>
      <c r="M108" s="14" t="s">
        <v>239</v>
      </c>
      <c r="N108" s="16" t="n">
        <v>2</v>
      </c>
      <c r="O108" s="16" t="s">
        <v>221</v>
      </c>
      <c r="P108" s="12" t="n">
        <f aca="false">INDEX(Scale!$B$16:$B$26,MATCH(K108,Scale!$A$16:$A$26,0))</f>
        <v>7</v>
      </c>
      <c r="Q108" s="15" t="n">
        <f aca="false">I108/3+J108/350</f>
        <v>7.23809523809524</v>
      </c>
      <c r="R108" s="15" t="n">
        <f aca="false">I108/4.2+J108/500</f>
        <v>5.13333333333333</v>
      </c>
      <c r="S108" s="15" t="n">
        <f aca="false">2*F108+2*G108/60+2*H108/60+Q108+1</f>
        <v>16.3714285714286</v>
      </c>
      <c r="T108" s="15" t="n">
        <f aca="false">I108+J108/100</f>
        <v>23</v>
      </c>
      <c r="U108" s="12" t="n">
        <f aca="false">INDEX(Scale!$B$3:$B$12,MATCH(T108,Scale!$A$3:$A$12,1))</f>
        <v>6</v>
      </c>
      <c r="V108" s="12" t="n">
        <f aca="false">INDEX(Scale!$B$30:$B$38,MATCH(L108,Scale!$A$30:$A$38,0))</f>
        <v>5</v>
      </c>
      <c r="W108" s="17" t="n">
        <f aca="false">MAX(U108,V108)</f>
        <v>6</v>
      </c>
      <c r="X108" s="12" t="n">
        <f aca="false">IF(W108&lt;=3,1,IF(W108&lt;=5,2,IF(W108&lt;=7,3,IF(W108&lt;=8,4,5))))</f>
        <v>3</v>
      </c>
      <c r="Y108" s="13" t="str">
        <f aca="false">IF(S108&lt;=13,"1 day",IF(S108&lt;=15,"1 long day","2 days"))</f>
        <v>2 days</v>
      </c>
      <c r="Z108" s="12" t="n">
        <f aca="false">ROUND(P108*130*Q108,-1)</f>
        <v>6590</v>
      </c>
      <c r="AA108" s="12" t="n">
        <f aca="false">ROUND(P108*120*Q108,-1)</f>
        <v>6080</v>
      </c>
      <c r="AB108" s="12" t="n">
        <f aca="false">ROUND(P108*110*Q108,-1)</f>
        <v>5570</v>
      </c>
      <c r="AC108" s="12" t="n">
        <f aca="false">ROUND(P108*100*Q108,-1)</f>
        <v>5070</v>
      </c>
      <c r="AD108" s="10" t="s">
        <v>445</v>
      </c>
      <c r="AE108" s="16"/>
      <c r="AF108" s="16"/>
      <c r="AG108" s="16"/>
    </row>
    <row r="109" customFormat="false" ht="15" hidden="false" customHeight="false" outlineLevel="0" collapsed="false">
      <c r="A109" s="12" t="n">
        <v>108</v>
      </c>
      <c r="B109" s="13" t="s">
        <v>439</v>
      </c>
      <c r="C109" s="10" t="s">
        <v>446</v>
      </c>
      <c r="D109" s="14" t="s">
        <v>83</v>
      </c>
      <c r="E109" s="14" t="s">
        <v>83</v>
      </c>
      <c r="F109" s="15" t="n">
        <f aca="false">MAX(IFERROR(INDEX(Stations!$B$2:$B$31,MATCH(D109,Stations!$A$2:$A$31,0)),0),IFERROR(INDEX(Stations!$B$2:$B$31,MATCH(E109,Stations!$A$2:$A$31,0)),0))</f>
        <v>3.4</v>
      </c>
      <c r="G109" s="16" t="n">
        <v>40</v>
      </c>
      <c r="H109" s="16" t="n">
        <v>0</v>
      </c>
      <c r="I109" s="16" t="n">
        <v>15</v>
      </c>
      <c r="J109" s="16" t="n">
        <v>1100</v>
      </c>
      <c r="K109" s="14" t="s">
        <v>130</v>
      </c>
      <c r="L109" s="14" t="s">
        <v>153</v>
      </c>
      <c r="M109" s="14" t="s">
        <v>239</v>
      </c>
      <c r="N109" s="16" t="n">
        <v>3</v>
      </c>
      <c r="O109" s="16" t="s">
        <v>221</v>
      </c>
      <c r="P109" s="12" t="n">
        <f aca="false">INDEX(Scale!$B$16:$B$26,MATCH(K109,Scale!$A$16:$A$26,0))</f>
        <v>7</v>
      </c>
      <c r="Q109" s="15" t="n">
        <f aca="false">I109/3+J109/350</f>
        <v>8.14285714285714</v>
      </c>
      <c r="R109" s="15" t="n">
        <f aca="false">I109/4.2+J109/500</f>
        <v>5.77142857142857</v>
      </c>
      <c r="S109" s="15" t="n">
        <f aca="false">2*F109+2*G109/60+2*H109/60+Q109+1</f>
        <v>17.2761904761905</v>
      </c>
      <c r="T109" s="15" t="n">
        <f aca="false">I109+J109/100</f>
        <v>26</v>
      </c>
      <c r="U109" s="12" t="n">
        <f aca="false">INDEX(Scale!$B$3:$B$12,MATCH(T109,Scale!$A$3:$A$12,1))</f>
        <v>6</v>
      </c>
      <c r="V109" s="12" t="n">
        <f aca="false">INDEX(Scale!$B$30:$B$38,MATCH(L109,Scale!$A$30:$A$38,0))</f>
        <v>6</v>
      </c>
      <c r="W109" s="17" t="n">
        <f aca="false">MAX(U109,V109)</f>
        <v>6</v>
      </c>
      <c r="X109" s="12" t="n">
        <f aca="false">IF(W109&lt;=3,1,IF(W109&lt;=5,2,IF(W109&lt;=7,3,IF(W109&lt;=8,4,5))))</f>
        <v>3</v>
      </c>
      <c r="Y109" s="13" t="str">
        <f aca="false">IF(S109&lt;=13,"1 day",IF(S109&lt;=15,"1 long day","2 days"))</f>
        <v>2 days</v>
      </c>
      <c r="Z109" s="12" t="n">
        <f aca="false">ROUND(P109*130*Q109,-1)</f>
        <v>7410</v>
      </c>
      <c r="AA109" s="12" t="n">
        <f aca="false">ROUND(P109*120*Q109,-1)</f>
        <v>6840</v>
      </c>
      <c r="AB109" s="12" t="n">
        <f aca="false">ROUND(P109*110*Q109,-1)</f>
        <v>6270</v>
      </c>
      <c r="AC109" s="12" t="n">
        <f aca="false">ROUND(P109*100*Q109,-1)</f>
        <v>5700</v>
      </c>
      <c r="AD109" s="10" t="s">
        <v>447</v>
      </c>
      <c r="AE109" s="16"/>
      <c r="AF109" s="16"/>
      <c r="AG109" s="16"/>
    </row>
    <row r="110" customFormat="false" ht="15" hidden="false" customHeight="false" outlineLevel="0" collapsed="false">
      <c r="A110" s="12" t="n">
        <v>109</v>
      </c>
      <c r="B110" s="13" t="s">
        <v>439</v>
      </c>
      <c r="C110" s="10" t="s">
        <v>448</v>
      </c>
      <c r="D110" s="14" t="s">
        <v>83</v>
      </c>
      <c r="E110" s="14" t="s">
        <v>83</v>
      </c>
      <c r="F110" s="15" t="n">
        <f aca="false">MAX(IFERROR(INDEX(Stations!$B$2:$B$31,MATCH(D110,Stations!$A$2:$A$31,0)),0),IFERROR(INDEX(Stations!$B$2:$B$31,MATCH(E110,Stations!$A$2:$A$31,0)),0))</f>
        <v>3.4</v>
      </c>
      <c r="G110" s="16" t="n">
        <v>40</v>
      </c>
      <c r="H110" s="16" t="n">
        <v>0</v>
      </c>
      <c r="I110" s="16" t="n">
        <v>17</v>
      </c>
      <c r="J110" s="16" t="n">
        <v>1350</v>
      </c>
      <c r="K110" s="14" t="s">
        <v>136</v>
      </c>
      <c r="L110" s="14" t="s">
        <v>136</v>
      </c>
      <c r="M110" s="14" t="s">
        <v>286</v>
      </c>
      <c r="N110" s="16" t="n">
        <v>3</v>
      </c>
      <c r="O110" s="16" t="s">
        <v>226</v>
      </c>
      <c r="P110" s="12" t="n">
        <f aca="false">INDEX(Scale!$B$16:$B$26,MATCH(K110,Scale!$A$16:$A$26,0))</f>
        <v>7.5</v>
      </c>
      <c r="Q110" s="15" t="n">
        <f aca="false">I110/3+J110/350</f>
        <v>9.52380952380952</v>
      </c>
      <c r="R110" s="15" t="n">
        <f aca="false">I110/4.2+J110/500</f>
        <v>6.74761904761905</v>
      </c>
      <c r="S110" s="15" t="n">
        <f aca="false">2*F110+2*G110/60+2*H110/60+Q110+1</f>
        <v>18.6571428571429</v>
      </c>
      <c r="T110" s="15" t="n">
        <f aca="false">I110+J110/100</f>
        <v>30.5</v>
      </c>
      <c r="U110" s="12" t="n">
        <f aca="false">INDEX(Scale!$B$3:$B$12,MATCH(T110,Scale!$A$3:$A$12,1))</f>
        <v>7</v>
      </c>
      <c r="V110" s="12" t="n">
        <f aca="false">INDEX(Scale!$B$30:$B$38,MATCH(L110,Scale!$A$30:$A$38,0))</f>
        <v>5</v>
      </c>
      <c r="W110" s="17" t="n">
        <f aca="false">MAX(U110,V110)</f>
        <v>7</v>
      </c>
      <c r="X110" s="12" t="n">
        <f aca="false">IF(W110&lt;=3,1,IF(W110&lt;=5,2,IF(W110&lt;=7,3,IF(W110&lt;=8,4,5))))</f>
        <v>3</v>
      </c>
      <c r="Y110" s="13" t="str">
        <f aca="false">IF(S110&lt;=13,"1 day",IF(S110&lt;=15,"1 long day","2 days"))</f>
        <v>2 days</v>
      </c>
      <c r="Z110" s="12" t="n">
        <f aca="false">ROUND(P110*130*Q110,-1)</f>
        <v>9290</v>
      </c>
      <c r="AA110" s="12" t="n">
        <f aca="false">ROUND(P110*120*Q110,-1)</f>
        <v>8570</v>
      </c>
      <c r="AB110" s="12" t="n">
        <f aca="false">ROUND(P110*110*Q110,-1)</f>
        <v>7860</v>
      </c>
      <c r="AC110" s="12" t="n">
        <f aca="false">ROUND(P110*100*Q110,-1)</f>
        <v>7140</v>
      </c>
      <c r="AD110" s="10" t="s">
        <v>449</v>
      </c>
      <c r="AE110" s="16"/>
      <c r="AF110" s="16"/>
      <c r="AG110" s="16"/>
    </row>
    <row r="111" customFormat="false" ht="15" hidden="false" customHeight="false" outlineLevel="0" collapsed="false">
      <c r="A111" s="12" t="n">
        <v>110</v>
      </c>
      <c r="B111" s="13" t="s">
        <v>439</v>
      </c>
      <c r="C111" s="10" t="s">
        <v>450</v>
      </c>
      <c r="D111" s="14" t="s">
        <v>83</v>
      </c>
      <c r="E111" s="14" t="s">
        <v>83</v>
      </c>
      <c r="F111" s="15" t="n">
        <f aca="false">MAX(IFERROR(INDEX(Stations!$B$2:$B$31,MATCH(D111,Stations!$A$2:$A$31,0)),0),IFERROR(INDEX(Stations!$B$2:$B$31,MATCH(E111,Stations!$A$2:$A$31,0)),0))</f>
        <v>3.4</v>
      </c>
      <c r="G111" s="16" t="n">
        <v>10</v>
      </c>
      <c r="H111" s="16" t="n">
        <v>0</v>
      </c>
      <c r="I111" s="16" t="n">
        <v>12</v>
      </c>
      <c r="J111" s="16" t="n">
        <v>250</v>
      </c>
      <c r="K111" s="14" t="s">
        <v>124</v>
      </c>
      <c r="L111" s="14" t="s">
        <v>147</v>
      </c>
      <c r="M111" s="14" t="s">
        <v>220</v>
      </c>
      <c r="N111" s="16" t="n">
        <v>3</v>
      </c>
      <c r="O111" s="16" t="s">
        <v>221</v>
      </c>
      <c r="P111" s="12" t="n">
        <f aca="false">INDEX(Scale!$B$16:$B$26,MATCH(K111,Scale!$A$16:$A$26,0))</f>
        <v>4.5</v>
      </c>
      <c r="Q111" s="15" t="n">
        <f aca="false">I111/3+J111/350</f>
        <v>4.71428571428571</v>
      </c>
      <c r="R111" s="15" t="n">
        <f aca="false">I111/4.2+J111/500</f>
        <v>3.35714285714286</v>
      </c>
      <c r="S111" s="15" t="n">
        <f aca="false">2*F111+2*G111/60+2*H111/60+Q111+1</f>
        <v>12.847619047619</v>
      </c>
      <c r="T111" s="15" t="n">
        <f aca="false">I111+J111/100</f>
        <v>14.5</v>
      </c>
      <c r="U111" s="12" t="n">
        <f aca="false">INDEX(Scale!$B$3:$B$12,MATCH(T111,Scale!$A$3:$A$12,1))</f>
        <v>4</v>
      </c>
      <c r="V111" s="12" t="n">
        <f aca="false">INDEX(Scale!$B$30:$B$38,MATCH(L111,Scale!$A$30:$A$38,0))</f>
        <v>0</v>
      </c>
      <c r="W111" s="17" t="n">
        <f aca="false">MAX(U111,V111)</f>
        <v>4</v>
      </c>
      <c r="X111" s="12" t="n">
        <f aca="false">IF(W111&lt;=3,1,IF(W111&lt;=5,2,IF(W111&lt;=7,3,IF(W111&lt;=8,4,5))))</f>
        <v>2</v>
      </c>
      <c r="Y111" s="13" t="str">
        <f aca="false">IF(S111&lt;=13,"1 day",IF(S111&lt;=15,"1 long day","2 days"))</f>
        <v>1 day</v>
      </c>
      <c r="Z111" s="12" t="n">
        <f aca="false">ROUND(P111*130*Q111,-1)</f>
        <v>2760</v>
      </c>
      <c r="AA111" s="12" t="n">
        <f aca="false">ROUND(P111*120*Q111,-1)</f>
        <v>2550</v>
      </c>
      <c r="AB111" s="12" t="n">
        <f aca="false">ROUND(P111*110*Q111,-1)</f>
        <v>2330</v>
      </c>
      <c r="AC111" s="12" t="n">
        <f aca="false">ROUND(P111*100*Q111,-1)</f>
        <v>2120</v>
      </c>
      <c r="AD111" s="10" t="s">
        <v>451</v>
      </c>
      <c r="AE111" s="16"/>
      <c r="AF111" s="16"/>
      <c r="AG111" s="16"/>
    </row>
    <row r="112" customFormat="false" ht="15" hidden="false" customHeight="false" outlineLevel="0" collapsed="false">
      <c r="A112" s="12" t="n">
        <v>111</v>
      </c>
      <c r="B112" s="13" t="s">
        <v>439</v>
      </c>
      <c r="C112" s="10" t="s">
        <v>452</v>
      </c>
      <c r="D112" s="14" t="s">
        <v>83</v>
      </c>
      <c r="E112" s="14" t="s">
        <v>83</v>
      </c>
      <c r="F112" s="15" t="n">
        <f aca="false">MAX(IFERROR(INDEX(Stations!$B$2:$B$31,MATCH(D112,Stations!$A$2:$A$31,0)),0),IFERROR(INDEX(Stations!$B$2:$B$31,MATCH(E112,Stations!$A$2:$A$31,0)),0))</f>
        <v>3.4</v>
      </c>
      <c r="G112" s="16" t="n">
        <v>10</v>
      </c>
      <c r="H112" s="16" t="n">
        <v>0</v>
      </c>
      <c r="I112" s="16" t="n">
        <v>20</v>
      </c>
      <c r="J112" s="16" t="n">
        <v>1300</v>
      </c>
      <c r="K112" s="14" t="s">
        <v>132</v>
      </c>
      <c r="L112" s="14" t="s">
        <v>138</v>
      </c>
      <c r="M112" s="14" t="s">
        <v>286</v>
      </c>
      <c r="N112" s="16" t="n">
        <v>4</v>
      </c>
      <c r="O112" s="16" t="s">
        <v>252</v>
      </c>
      <c r="P112" s="12" t="n">
        <f aca="false">INDEX(Scale!$B$16:$B$26,MATCH(K112,Scale!$A$16:$A$26,0))</f>
        <v>7.5</v>
      </c>
      <c r="Q112" s="15" t="n">
        <f aca="false">I112/3+J112/350</f>
        <v>10.3809523809524</v>
      </c>
      <c r="R112" s="15" t="n">
        <f aca="false">I112/4.2+J112/500</f>
        <v>7.36190476190476</v>
      </c>
      <c r="S112" s="15" t="n">
        <f aca="false">2*F112+2*G112/60+2*H112/60+Q112+1</f>
        <v>18.5142857142857</v>
      </c>
      <c r="T112" s="15" t="n">
        <f aca="false">I112+J112/100</f>
        <v>33</v>
      </c>
      <c r="U112" s="12" t="n">
        <f aca="false">INDEX(Scale!$B$3:$B$12,MATCH(T112,Scale!$A$3:$A$12,1))</f>
        <v>7</v>
      </c>
      <c r="V112" s="12" t="n">
        <f aca="false">INDEX(Scale!$B$30:$B$38,MATCH(L112,Scale!$A$30:$A$38,0))</f>
        <v>8</v>
      </c>
      <c r="W112" s="17" t="n">
        <f aca="false">MAX(U112,V112)</f>
        <v>8</v>
      </c>
      <c r="X112" s="12" t="n">
        <f aca="false">IF(W112&lt;=3,1,IF(W112&lt;=5,2,IF(W112&lt;=7,3,IF(W112&lt;=8,4,5))))</f>
        <v>4</v>
      </c>
      <c r="Y112" s="13" t="str">
        <f aca="false">IF(S112&lt;=13,"1 day",IF(S112&lt;=15,"1 long day","2 days"))</f>
        <v>2 days</v>
      </c>
      <c r="Z112" s="12" t="n">
        <f aca="false">ROUND(P112*130*Q112,-1)</f>
        <v>10120</v>
      </c>
      <c r="AA112" s="12" t="n">
        <f aca="false">ROUND(P112*120*Q112,-1)</f>
        <v>9340</v>
      </c>
      <c r="AB112" s="12" t="n">
        <f aca="false">ROUND(P112*110*Q112,-1)</f>
        <v>8560</v>
      </c>
      <c r="AC112" s="12" t="n">
        <f aca="false">ROUND(P112*100*Q112,-1)</f>
        <v>7790</v>
      </c>
      <c r="AD112" s="10" t="s">
        <v>453</v>
      </c>
      <c r="AE112" s="16"/>
      <c r="AF112" s="16"/>
      <c r="AG112" s="16"/>
    </row>
    <row r="113" customFormat="false" ht="15" hidden="false" customHeight="false" outlineLevel="0" collapsed="false">
      <c r="A113" s="12" t="n">
        <v>112</v>
      </c>
      <c r="B113" s="13" t="s">
        <v>439</v>
      </c>
      <c r="C113" s="10" t="s">
        <v>454</v>
      </c>
      <c r="D113" s="14" t="s">
        <v>83</v>
      </c>
      <c r="E113" s="14" t="s">
        <v>83</v>
      </c>
      <c r="F113" s="15" t="n">
        <f aca="false">MAX(IFERROR(INDEX(Stations!$B$2:$B$31,MATCH(D113,Stations!$A$2:$A$31,0)),0),IFERROR(INDEX(Stations!$B$2:$B$31,MATCH(E113,Stations!$A$2:$A$31,0)),0))</f>
        <v>3.4</v>
      </c>
      <c r="G113" s="16" t="n">
        <v>40</v>
      </c>
      <c r="H113" s="16" t="n">
        <v>0</v>
      </c>
      <c r="I113" s="16" t="n">
        <v>14</v>
      </c>
      <c r="J113" s="16" t="n">
        <v>800</v>
      </c>
      <c r="K113" s="14" t="s">
        <v>126</v>
      </c>
      <c r="L113" s="14" t="s">
        <v>147</v>
      </c>
      <c r="M113" s="14" t="s">
        <v>234</v>
      </c>
      <c r="N113" s="16" t="n">
        <v>5</v>
      </c>
      <c r="O113" s="16" t="s">
        <v>252</v>
      </c>
      <c r="P113" s="12" t="n">
        <f aca="false">INDEX(Scale!$B$16:$B$26,MATCH(K113,Scale!$A$16:$A$26,0))</f>
        <v>5.5</v>
      </c>
      <c r="Q113" s="15" t="n">
        <f aca="false">I113/3+J113/350</f>
        <v>6.95238095238095</v>
      </c>
      <c r="R113" s="15" t="n">
        <f aca="false">I113/4.2+J113/500</f>
        <v>4.93333333333333</v>
      </c>
      <c r="S113" s="15" t="n">
        <f aca="false">2*F113+2*G113/60+2*H113/60+Q113+1</f>
        <v>16.0857142857143</v>
      </c>
      <c r="T113" s="15" t="n">
        <f aca="false">I113+J113/100</f>
        <v>22</v>
      </c>
      <c r="U113" s="12" t="n">
        <f aca="false">INDEX(Scale!$B$3:$B$12,MATCH(T113,Scale!$A$3:$A$12,1))</f>
        <v>6</v>
      </c>
      <c r="V113" s="12" t="n">
        <f aca="false">INDEX(Scale!$B$30:$B$38,MATCH(L113,Scale!$A$30:$A$38,0))</f>
        <v>0</v>
      </c>
      <c r="W113" s="17" t="n">
        <f aca="false">MAX(U113,V113)</f>
        <v>6</v>
      </c>
      <c r="X113" s="12" t="n">
        <f aca="false">IF(W113&lt;=3,1,IF(W113&lt;=5,2,IF(W113&lt;=7,3,IF(W113&lt;=8,4,5))))</f>
        <v>3</v>
      </c>
      <c r="Y113" s="13" t="str">
        <f aca="false">IF(S113&lt;=13,"1 day",IF(S113&lt;=15,"1 long day","2 days"))</f>
        <v>2 days</v>
      </c>
      <c r="Z113" s="12" t="n">
        <f aca="false">ROUND(P113*130*Q113,-1)</f>
        <v>4970</v>
      </c>
      <c r="AA113" s="12" t="n">
        <f aca="false">ROUND(P113*120*Q113,-1)</f>
        <v>4590</v>
      </c>
      <c r="AB113" s="12" t="n">
        <f aca="false">ROUND(P113*110*Q113,-1)</f>
        <v>4210</v>
      </c>
      <c r="AC113" s="12" t="n">
        <f aca="false">ROUND(P113*100*Q113,-1)</f>
        <v>3820</v>
      </c>
      <c r="AD113" s="10" t="s">
        <v>455</v>
      </c>
      <c r="AE113" s="16"/>
      <c r="AF113" s="16"/>
      <c r="AG113" s="16"/>
    </row>
    <row r="114" customFormat="false" ht="15" hidden="false" customHeight="false" outlineLevel="0" collapsed="false">
      <c r="A114" s="12" t="n">
        <v>113</v>
      </c>
      <c r="B114" s="13" t="s">
        <v>439</v>
      </c>
      <c r="C114" s="10" t="s">
        <v>456</v>
      </c>
      <c r="D114" s="14" t="s">
        <v>83</v>
      </c>
      <c r="E114" s="14" t="s">
        <v>83</v>
      </c>
      <c r="F114" s="15" t="n">
        <f aca="false">MAX(IFERROR(INDEX(Stations!$B$2:$B$31,MATCH(D114,Stations!$A$2:$A$31,0)),0),IFERROR(INDEX(Stations!$B$2:$B$31,MATCH(E114,Stations!$A$2:$A$31,0)),0))</f>
        <v>3.4</v>
      </c>
      <c r="G114" s="16" t="n">
        <v>40</v>
      </c>
      <c r="H114" s="16" t="n">
        <v>0</v>
      </c>
      <c r="I114" s="16" t="n">
        <v>12</v>
      </c>
      <c r="J114" s="16" t="n">
        <v>700</v>
      </c>
      <c r="K114" s="14" t="s">
        <v>138</v>
      </c>
      <c r="L114" s="14" t="s">
        <v>153</v>
      </c>
      <c r="M114" s="14" t="s">
        <v>239</v>
      </c>
      <c r="N114" s="16" t="n">
        <v>5</v>
      </c>
      <c r="O114" s="16" t="s">
        <v>252</v>
      </c>
      <c r="P114" s="12" t="n">
        <f aca="false">INDEX(Scale!$B$16:$B$26,MATCH(K114,Scale!$A$16:$A$26,0))</f>
        <v>7.5</v>
      </c>
      <c r="Q114" s="15" t="n">
        <f aca="false">I114/3+J114/350</f>
        <v>6</v>
      </c>
      <c r="R114" s="15" t="n">
        <f aca="false">I114/4.2+J114/500</f>
        <v>4.25714285714286</v>
      </c>
      <c r="S114" s="15" t="n">
        <f aca="false">2*F114+2*G114/60+2*H114/60+Q114+1</f>
        <v>15.1333333333333</v>
      </c>
      <c r="T114" s="15" t="n">
        <f aca="false">I114+J114/100</f>
        <v>19</v>
      </c>
      <c r="U114" s="12" t="n">
        <f aca="false">INDEX(Scale!$B$3:$B$12,MATCH(T114,Scale!$A$3:$A$12,1))</f>
        <v>5</v>
      </c>
      <c r="V114" s="12" t="n">
        <f aca="false">INDEX(Scale!$B$30:$B$38,MATCH(L114,Scale!$A$30:$A$38,0))</f>
        <v>6</v>
      </c>
      <c r="W114" s="17" t="n">
        <f aca="false">MAX(U114,V114)</f>
        <v>6</v>
      </c>
      <c r="X114" s="12" t="n">
        <f aca="false">IF(W114&lt;=3,1,IF(W114&lt;=5,2,IF(W114&lt;=7,3,IF(W114&lt;=8,4,5))))</f>
        <v>3</v>
      </c>
      <c r="Y114" s="13" t="str">
        <f aca="false">IF(S114&lt;=13,"1 day",IF(S114&lt;=15,"1 long day","2 days"))</f>
        <v>2 days</v>
      </c>
      <c r="Z114" s="12" t="n">
        <f aca="false">ROUND(P114*130*Q114,-1)</f>
        <v>5850</v>
      </c>
      <c r="AA114" s="12" t="n">
        <f aca="false">ROUND(P114*120*Q114,-1)</f>
        <v>5400</v>
      </c>
      <c r="AB114" s="12" t="n">
        <f aca="false">ROUND(P114*110*Q114,-1)</f>
        <v>4950</v>
      </c>
      <c r="AC114" s="12" t="n">
        <f aca="false">ROUND(P114*100*Q114,-1)</f>
        <v>4500</v>
      </c>
      <c r="AD114" s="10" t="s">
        <v>457</v>
      </c>
      <c r="AE114" s="16"/>
      <c r="AF114" s="16"/>
      <c r="AG114" s="16"/>
    </row>
    <row r="115" customFormat="false" ht="15" hidden="false" customHeight="false" outlineLevel="0" collapsed="false">
      <c r="A115" s="12" t="n">
        <v>114</v>
      </c>
      <c r="B115" s="13" t="s">
        <v>439</v>
      </c>
      <c r="C115" s="10" t="s">
        <v>458</v>
      </c>
      <c r="D115" s="14" t="s">
        <v>83</v>
      </c>
      <c r="E115" s="14" t="s">
        <v>83</v>
      </c>
      <c r="F115" s="15" t="n">
        <f aca="false">MAX(IFERROR(INDEX(Stations!$B$2:$B$31,MATCH(D115,Stations!$A$2:$A$31,0)),0),IFERROR(INDEX(Stations!$B$2:$B$31,MATCH(E115,Stations!$A$2:$A$31,0)),0))</f>
        <v>3.4</v>
      </c>
      <c r="G115" s="16" t="n">
        <v>40</v>
      </c>
      <c r="H115" s="16" t="n">
        <v>0</v>
      </c>
      <c r="I115" s="16" t="n">
        <v>18</v>
      </c>
      <c r="J115" s="16" t="n">
        <v>1200</v>
      </c>
      <c r="K115" s="14" t="s">
        <v>138</v>
      </c>
      <c r="L115" s="14" t="s">
        <v>138</v>
      </c>
      <c r="M115" s="14" t="s">
        <v>286</v>
      </c>
      <c r="N115" s="16" t="n">
        <v>5</v>
      </c>
      <c r="O115" s="16" t="s">
        <v>252</v>
      </c>
      <c r="P115" s="12" t="n">
        <f aca="false">INDEX(Scale!$B$16:$B$26,MATCH(K115,Scale!$A$16:$A$26,0))</f>
        <v>7.5</v>
      </c>
      <c r="Q115" s="15" t="n">
        <f aca="false">I115/3+J115/350</f>
        <v>9.42857142857143</v>
      </c>
      <c r="R115" s="15" t="n">
        <f aca="false">I115/4.2+J115/500</f>
        <v>6.68571428571429</v>
      </c>
      <c r="S115" s="15" t="n">
        <f aca="false">2*F115+2*G115/60+2*H115/60+Q115+1</f>
        <v>18.5619047619048</v>
      </c>
      <c r="T115" s="15" t="n">
        <f aca="false">I115+J115/100</f>
        <v>30</v>
      </c>
      <c r="U115" s="12" t="n">
        <f aca="false">INDEX(Scale!$B$3:$B$12,MATCH(T115,Scale!$A$3:$A$12,1))</f>
        <v>7</v>
      </c>
      <c r="V115" s="12" t="n">
        <f aca="false">INDEX(Scale!$B$30:$B$38,MATCH(L115,Scale!$A$30:$A$38,0))</f>
        <v>8</v>
      </c>
      <c r="W115" s="17" t="n">
        <f aca="false">MAX(U115,V115)</f>
        <v>8</v>
      </c>
      <c r="X115" s="12" t="n">
        <f aca="false">IF(W115&lt;=3,1,IF(W115&lt;=5,2,IF(W115&lt;=7,3,IF(W115&lt;=8,4,5))))</f>
        <v>4</v>
      </c>
      <c r="Y115" s="13" t="str">
        <f aca="false">IF(S115&lt;=13,"1 day",IF(S115&lt;=15,"1 long day","2 days"))</f>
        <v>2 days</v>
      </c>
      <c r="Z115" s="12" t="n">
        <f aca="false">ROUND(P115*130*Q115,-1)</f>
        <v>9190</v>
      </c>
      <c r="AA115" s="12" t="n">
        <f aca="false">ROUND(P115*120*Q115,-1)</f>
        <v>8490</v>
      </c>
      <c r="AB115" s="12" t="n">
        <f aca="false">ROUND(P115*110*Q115,-1)</f>
        <v>7780</v>
      </c>
      <c r="AC115" s="12" t="n">
        <f aca="false">ROUND(P115*100*Q115,-1)</f>
        <v>7070</v>
      </c>
      <c r="AD115" s="10" t="s">
        <v>459</v>
      </c>
      <c r="AE115" s="16"/>
      <c r="AF115" s="16"/>
      <c r="AG115" s="16"/>
    </row>
    <row r="116" customFormat="false" ht="15" hidden="false" customHeight="false" outlineLevel="0" collapsed="false">
      <c r="A116" s="12" t="n">
        <v>115</v>
      </c>
      <c r="B116" s="13" t="s">
        <v>439</v>
      </c>
      <c r="C116" s="10" t="s">
        <v>460</v>
      </c>
      <c r="D116" s="14" t="s">
        <v>83</v>
      </c>
      <c r="E116" s="14" t="s">
        <v>83</v>
      </c>
      <c r="F116" s="15" t="n">
        <f aca="false">MAX(IFERROR(INDEX(Stations!$B$2:$B$31,MATCH(D116,Stations!$A$2:$A$31,0)),0),IFERROR(INDEX(Stations!$B$2:$B$31,MATCH(E116,Stations!$A$2:$A$31,0)),0))</f>
        <v>3.4</v>
      </c>
      <c r="G116" s="16" t="n">
        <v>40</v>
      </c>
      <c r="H116" s="16" t="n">
        <v>0</v>
      </c>
      <c r="I116" s="16" t="n">
        <v>26</v>
      </c>
      <c r="J116" s="16" t="n">
        <v>1600</v>
      </c>
      <c r="K116" s="14" t="s">
        <v>138</v>
      </c>
      <c r="L116" s="14" t="s">
        <v>138</v>
      </c>
      <c r="M116" s="14" t="s">
        <v>286</v>
      </c>
      <c r="N116" s="16" t="n">
        <v>3</v>
      </c>
      <c r="O116" s="16" t="s">
        <v>226</v>
      </c>
      <c r="P116" s="12" t="n">
        <f aca="false">INDEX(Scale!$B$16:$B$26,MATCH(K116,Scale!$A$16:$A$26,0))</f>
        <v>7.5</v>
      </c>
      <c r="Q116" s="15" t="n">
        <f aca="false">I116/3+J116/350</f>
        <v>13.2380952380952</v>
      </c>
      <c r="R116" s="15" t="n">
        <f aca="false">I116/4.2+J116/500</f>
        <v>9.39047619047619</v>
      </c>
      <c r="S116" s="15" t="n">
        <f aca="false">2*F116+2*G116/60+2*H116/60+Q116+1</f>
        <v>22.3714285714286</v>
      </c>
      <c r="T116" s="15" t="n">
        <f aca="false">I116+J116/100</f>
        <v>42</v>
      </c>
      <c r="U116" s="12" t="n">
        <f aca="false">INDEX(Scale!$B$3:$B$12,MATCH(T116,Scale!$A$3:$A$12,1))</f>
        <v>9</v>
      </c>
      <c r="V116" s="12" t="n">
        <f aca="false">INDEX(Scale!$B$30:$B$38,MATCH(L116,Scale!$A$30:$A$38,0))</f>
        <v>8</v>
      </c>
      <c r="W116" s="17" t="n">
        <f aca="false">MAX(U116,V116)</f>
        <v>9</v>
      </c>
      <c r="X116" s="12" t="n">
        <f aca="false">IF(W116&lt;=3,1,IF(W116&lt;=5,2,IF(W116&lt;=7,3,IF(W116&lt;=8,4,5))))</f>
        <v>5</v>
      </c>
      <c r="Y116" s="13" t="str">
        <f aca="false">IF(S116&lt;=13,"1 day",IF(S116&lt;=15,"1 long day","2 days"))</f>
        <v>2 days</v>
      </c>
      <c r="Z116" s="12" t="n">
        <f aca="false">ROUND(P116*130*Q116,-1)</f>
        <v>12910</v>
      </c>
      <c r="AA116" s="12" t="n">
        <f aca="false">ROUND(P116*120*Q116,-1)</f>
        <v>11910</v>
      </c>
      <c r="AB116" s="12" t="n">
        <f aca="false">ROUND(P116*110*Q116,-1)</f>
        <v>10920</v>
      </c>
      <c r="AC116" s="12" t="n">
        <f aca="false">ROUND(P116*100*Q116,-1)</f>
        <v>9930</v>
      </c>
      <c r="AD116" s="10" t="s">
        <v>461</v>
      </c>
      <c r="AE116" s="16"/>
      <c r="AF116" s="16"/>
      <c r="AG116" s="16"/>
    </row>
    <row r="117" customFormat="false" ht="15" hidden="false" customHeight="false" outlineLevel="0" collapsed="false">
      <c r="A117" s="12" t="n">
        <v>116</v>
      </c>
      <c r="B117" s="13" t="s">
        <v>439</v>
      </c>
      <c r="C117" s="10" t="s">
        <v>462</v>
      </c>
      <c r="D117" s="14" t="s">
        <v>83</v>
      </c>
      <c r="E117" s="14" t="s">
        <v>83</v>
      </c>
      <c r="F117" s="15" t="n">
        <f aca="false">MAX(IFERROR(INDEX(Stations!$B$2:$B$31,MATCH(D117,Stations!$A$2:$A$31,0)),0),IFERROR(INDEX(Stations!$B$2:$B$31,MATCH(E117,Stations!$A$2:$A$31,0)),0))</f>
        <v>3.4</v>
      </c>
      <c r="G117" s="16" t="n">
        <v>40</v>
      </c>
      <c r="H117" s="16" t="n">
        <v>0</v>
      </c>
      <c r="I117" s="16" t="n">
        <v>14</v>
      </c>
      <c r="J117" s="16" t="n">
        <v>600</v>
      </c>
      <c r="K117" s="14" t="s">
        <v>126</v>
      </c>
      <c r="L117" s="14" t="s">
        <v>147</v>
      </c>
      <c r="M117" s="14" t="s">
        <v>220</v>
      </c>
      <c r="N117" s="16" t="n">
        <v>4</v>
      </c>
      <c r="O117" s="16" t="s">
        <v>226</v>
      </c>
      <c r="P117" s="12" t="n">
        <f aca="false">INDEX(Scale!$B$16:$B$26,MATCH(K117,Scale!$A$16:$A$26,0))</f>
        <v>5.5</v>
      </c>
      <c r="Q117" s="15" t="n">
        <f aca="false">I117/3+J117/350</f>
        <v>6.38095238095238</v>
      </c>
      <c r="R117" s="15" t="n">
        <f aca="false">I117/4.2+J117/500</f>
        <v>4.53333333333333</v>
      </c>
      <c r="S117" s="15" t="n">
        <f aca="false">2*F117+2*G117/60+2*H117/60+Q117+1</f>
        <v>15.5142857142857</v>
      </c>
      <c r="T117" s="15" t="n">
        <f aca="false">I117+J117/100</f>
        <v>20</v>
      </c>
      <c r="U117" s="12" t="n">
        <f aca="false">INDEX(Scale!$B$3:$B$12,MATCH(T117,Scale!$A$3:$A$12,1))</f>
        <v>5</v>
      </c>
      <c r="V117" s="12" t="n">
        <f aca="false">INDEX(Scale!$B$30:$B$38,MATCH(L117,Scale!$A$30:$A$38,0))</f>
        <v>0</v>
      </c>
      <c r="W117" s="17" t="n">
        <f aca="false">MAX(U117,V117)</f>
        <v>5</v>
      </c>
      <c r="X117" s="12" t="n">
        <f aca="false">IF(W117&lt;=3,1,IF(W117&lt;=5,2,IF(W117&lt;=7,3,IF(W117&lt;=8,4,5))))</f>
        <v>2</v>
      </c>
      <c r="Y117" s="13" t="str">
        <f aca="false">IF(S117&lt;=13,"1 day",IF(S117&lt;=15,"1 long day","2 days"))</f>
        <v>2 days</v>
      </c>
      <c r="Z117" s="12" t="n">
        <f aca="false">ROUND(P117*130*Q117,-1)</f>
        <v>4560</v>
      </c>
      <c r="AA117" s="12" t="n">
        <f aca="false">ROUND(P117*120*Q117,-1)</f>
        <v>4210</v>
      </c>
      <c r="AB117" s="12" t="n">
        <f aca="false">ROUND(P117*110*Q117,-1)</f>
        <v>3860</v>
      </c>
      <c r="AC117" s="12" t="n">
        <f aca="false">ROUND(P117*100*Q117,-1)</f>
        <v>3510</v>
      </c>
      <c r="AD117" s="10" t="s">
        <v>463</v>
      </c>
      <c r="AE117" s="16"/>
      <c r="AF117" s="16"/>
      <c r="AG117" s="16"/>
    </row>
    <row r="118" customFormat="false" ht="15" hidden="false" customHeight="false" outlineLevel="0" collapsed="false">
      <c r="A118" s="12" t="n">
        <v>117</v>
      </c>
      <c r="B118" s="13" t="s">
        <v>439</v>
      </c>
      <c r="C118" s="10" t="s">
        <v>464</v>
      </c>
      <c r="D118" s="14" t="s">
        <v>83</v>
      </c>
      <c r="E118" s="14" t="s">
        <v>83</v>
      </c>
      <c r="F118" s="15" t="n">
        <f aca="false">MAX(IFERROR(INDEX(Stations!$B$2:$B$31,MATCH(D118,Stations!$A$2:$A$31,0)),0),IFERROR(INDEX(Stations!$B$2:$B$31,MATCH(E118,Stations!$A$2:$A$31,0)),0))</f>
        <v>3.4</v>
      </c>
      <c r="G118" s="16" t="n">
        <v>30</v>
      </c>
      <c r="H118" s="16" t="n">
        <v>0</v>
      </c>
      <c r="I118" s="16" t="n">
        <v>12</v>
      </c>
      <c r="J118" s="16" t="n">
        <v>750</v>
      </c>
      <c r="K118" s="14" t="s">
        <v>128</v>
      </c>
      <c r="L118" s="14" t="s">
        <v>147</v>
      </c>
      <c r="M118" s="14" t="s">
        <v>239</v>
      </c>
      <c r="N118" s="16" t="n">
        <v>3</v>
      </c>
      <c r="O118" s="16" t="s">
        <v>226</v>
      </c>
      <c r="P118" s="12" t="n">
        <f aca="false">INDEX(Scale!$B$16:$B$26,MATCH(K118,Scale!$A$16:$A$26,0))</f>
        <v>6.3</v>
      </c>
      <c r="Q118" s="15" t="n">
        <f aca="false">I118/3+J118/350</f>
        <v>6.14285714285714</v>
      </c>
      <c r="R118" s="15" t="n">
        <f aca="false">I118/4.2+J118/500</f>
        <v>4.35714285714286</v>
      </c>
      <c r="S118" s="15" t="n">
        <f aca="false">2*F118+2*G118/60+2*H118/60+Q118+1</f>
        <v>14.9428571428571</v>
      </c>
      <c r="T118" s="15" t="n">
        <f aca="false">I118+J118/100</f>
        <v>19.5</v>
      </c>
      <c r="U118" s="12" t="n">
        <f aca="false">INDEX(Scale!$B$3:$B$12,MATCH(T118,Scale!$A$3:$A$12,1))</f>
        <v>5</v>
      </c>
      <c r="V118" s="12" t="n">
        <f aca="false">INDEX(Scale!$B$30:$B$38,MATCH(L118,Scale!$A$30:$A$38,0))</f>
        <v>0</v>
      </c>
      <c r="W118" s="17" t="n">
        <f aca="false">MAX(U118,V118)</f>
        <v>5</v>
      </c>
      <c r="X118" s="12" t="n">
        <f aca="false">IF(W118&lt;=3,1,IF(W118&lt;=5,2,IF(W118&lt;=7,3,IF(W118&lt;=8,4,5))))</f>
        <v>2</v>
      </c>
      <c r="Y118" s="13" t="str">
        <f aca="false">IF(S118&lt;=13,"1 day",IF(S118&lt;=15,"1 long day","2 days"))</f>
        <v>1 long day</v>
      </c>
      <c r="Z118" s="12" t="n">
        <f aca="false">ROUND(P118*130*Q118,-1)</f>
        <v>5030</v>
      </c>
      <c r="AA118" s="12" t="n">
        <f aca="false">ROUND(P118*120*Q118,-1)</f>
        <v>4640</v>
      </c>
      <c r="AB118" s="12" t="n">
        <f aca="false">ROUND(P118*110*Q118,-1)</f>
        <v>4260</v>
      </c>
      <c r="AC118" s="12" t="n">
        <f aca="false">ROUND(P118*100*Q118,-1)</f>
        <v>3870</v>
      </c>
      <c r="AD118" s="10" t="s">
        <v>465</v>
      </c>
      <c r="AE118" s="16"/>
      <c r="AF118" s="16"/>
      <c r="AG118" s="16"/>
    </row>
    <row r="119" customFormat="false" ht="15" hidden="false" customHeight="false" outlineLevel="0" collapsed="false">
      <c r="A119" s="12" t="n">
        <v>118</v>
      </c>
      <c r="B119" s="13" t="s">
        <v>439</v>
      </c>
      <c r="C119" s="10" t="s">
        <v>466</v>
      </c>
      <c r="D119" s="14" t="s">
        <v>83</v>
      </c>
      <c r="E119" s="14" t="s">
        <v>83</v>
      </c>
      <c r="F119" s="15" t="n">
        <f aca="false">MAX(IFERROR(INDEX(Stations!$B$2:$B$31,MATCH(D119,Stations!$A$2:$A$31,0)),0),IFERROR(INDEX(Stations!$B$2:$B$31,MATCH(E119,Stations!$A$2:$A$31,0)),0))</f>
        <v>3.4</v>
      </c>
      <c r="G119" s="16" t="n">
        <v>40</v>
      </c>
      <c r="H119" s="16" t="n">
        <v>0</v>
      </c>
      <c r="I119" s="16" t="n">
        <v>16</v>
      </c>
      <c r="J119" s="16" t="n">
        <v>1150</v>
      </c>
      <c r="K119" s="14" t="s">
        <v>130</v>
      </c>
      <c r="L119" s="14" t="s">
        <v>153</v>
      </c>
      <c r="M119" s="14" t="s">
        <v>239</v>
      </c>
      <c r="N119" s="16" t="n">
        <v>3</v>
      </c>
      <c r="O119" s="16" t="s">
        <v>226</v>
      </c>
      <c r="P119" s="12" t="n">
        <f aca="false">INDEX(Scale!$B$16:$B$26,MATCH(K119,Scale!$A$16:$A$26,0))</f>
        <v>7</v>
      </c>
      <c r="Q119" s="15" t="n">
        <f aca="false">I119/3+J119/350</f>
        <v>8.61904761904762</v>
      </c>
      <c r="R119" s="15" t="n">
        <f aca="false">I119/4.2+J119/500</f>
        <v>6.10952380952381</v>
      </c>
      <c r="S119" s="15" t="n">
        <f aca="false">2*F119+2*G119/60+2*H119/60+Q119+1</f>
        <v>17.752380952381</v>
      </c>
      <c r="T119" s="15" t="n">
        <f aca="false">I119+J119/100</f>
        <v>27.5</v>
      </c>
      <c r="U119" s="12" t="n">
        <f aca="false">INDEX(Scale!$B$3:$B$12,MATCH(T119,Scale!$A$3:$A$12,1))</f>
        <v>7</v>
      </c>
      <c r="V119" s="12" t="n">
        <f aca="false">INDEX(Scale!$B$30:$B$38,MATCH(L119,Scale!$A$30:$A$38,0))</f>
        <v>6</v>
      </c>
      <c r="W119" s="17" t="n">
        <f aca="false">MAX(U119,V119)</f>
        <v>7</v>
      </c>
      <c r="X119" s="12" t="n">
        <f aca="false">IF(W119&lt;=3,1,IF(W119&lt;=5,2,IF(W119&lt;=7,3,IF(W119&lt;=8,4,5))))</f>
        <v>3</v>
      </c>
      <c r="Y119" s="13" t="str">
        <f aca="false">IF(S119&lt;=13,"1 day",IF(S119&lt;=15,"1 long day","2 days"))</f>
        <v>2 days</v>
      </c>
      <c r="Z119" s="12" t="n">
        <f aca="false">ROUND(P119*130*Q119,-1)</f>
        <v>7840</v>
      </c>
      <c r="AA119" s="12" t="n">
        <f aca="false">ROUND(P119*120*Q119,-1)</f>
        <v>7240</v>
      </c>
      <c r="AB119" s="12" t="n">
        <f aca="false">ROUND(P119*110*Q119,-1)</f>
        <v>6640</v>
      </c>
      <c r="AC119" s="12" t="n">
        <f aca="false">ROUND(P119*100*Q119,-1)</f>
        <v>6030</v>
      </c>
      <c r="AD119" s="10" t="s">
        <v>467</v>
      </c>
      <c r="AE119" s="16"/>
      <c r="AF119" s="16"/>
      <c r="AG119" s="16"/>
    </row>
    <row r="120" customFormat="false" ht="15" hidden="false" customHeight="false" outlineLevel="0" collapsed="false">
      <c r="A120" s="12" t="n">
        <v>119</v>
      </c>
      <c r="B120" s="13" t="s">
        <v>439</v>
      </c>
      <c r="C120" s="10" t="s">
        <v>468</v>
      </c>
      <c r="D120" s="14" t="s">
        <v>83</v>
      </c>
      <c r="E120" s="14" t="s">
        <v>83</v>
      </c>
      <c r="F120" s="15" t="n">
        <f aca="false">MAX(IFERROR(INDEX(Stations!$B$2:$B$31,MATCH(D120,Stations!$A$2:$A$31,0)),0),IFERROR(INDEX(Stations!$B$2:$B$31,MATCH(E120,Stations!$A$2:$A$31,0)),0))</f>
        <v>3.4</v>
      </c>
      <c r="G120" s="16" t="n">
        <v>40</v>
      </c>
      <c r="H120" s="16" t="n">
        <v>0</v>
      </c>
      <c r="I120" s="16" t="n">
        <v>15</v>
      </c>
      <c r="J120" s="16" t="n">
        <v>1000</v>
      </c>
      <c r="K120" s="14" t="s">
        <v>130</v>
      </c>
      <c r="L120" s="14" t="s">
        <v>136</v>
      </c>
      <c r="M120" s="14" t="s">
        <v>239</v>
      </c>
      <c r="N120" s="16" t="n">
        <v>2</v>
      </c>
      <c r="O120" s="16" t="s">
        <v>226</v>
      </c>
      <c r="P120" s="12" t="n">
        <f aca="false">INDEX(Scale!$B$16:$B$26,MATCH(K120,Scale!$A$16:$A$26,0))</f>
        <v>7</v>
      </c>
      <c r="Q120" s="15" t="n">
        <f aca="false">I120/3+J120/350</f>
        <v>7.85714285714286</v>
      </c>
      <c r="R120" s="15" t="n">
        <f aca="false">I120/4.2+J120/500</f>
        <v>5.57142857142857</v>
      </c>
      <c r="S120" s="15" t="n">
        <f aca="false">2*F120+2*G120/60+2*H120/60+Q120+1</f>
        <v>16.9904761904762</v>
      </c>
      <c r="T120" s="15" t="n">
        <f aca="false">I120+J120/100</f>
        <v>25</v>
      </c>
      <c r="U120" s="12" t="n">
        <f aca="false">INDEX(Scale!$B$3:$B$12,MATCH(T120,Scale!$A$3:$A$12,1))</f>
        <v>6</v>
      </c>
      <c r="V120" s="12" t="n">
        <f aca="false">INDEX(Scale!$B$30:$B$38,MATCH(L120,Scale!$A$30:$A$38,0))</f>
        <v>5</v>
      </c>
      <c r="W120" s="17" t="n">
        <f aca="false">MAX(U120,V120)</f>
        <v>6</v>
      </c>
      <c r="X120" s="12" t="n">
        <f aca="false">IF(W120&lt;=3,1,IF(W120&lt;=5,2,IF(W120&lt;=7,3,IF(W120&lt;=8,4,5))))</f>
        <v>3</v>
      </c>
      <c r="Y120" s="13" t="str">
        <f aca="false">IF(S120&lt;=13,"1 day",IF(S120&lt;=15,"1 long day","2 days"))</f>
        <v>2 days</v>
      </c>
      <c r="Z120" s="12" t="n">
        <f aca="false">ROUND(P120*130*Q120,-1)</f>
        <v>7150</v>
      </c>
      <c r="AA120" s="12" t="n">
        <f aca="false">ROUND(P120*120*Q120,-1)</f>
        <v>6600</v>
      </c>
      <c r="AB120" s="12" t="n">
        <f aca="false">ROUND(P120*110*Q120,-1)</f>
        <v>6050</v>
      </c>
      <c r="AC120" s="12" t="n">
        <f aca="false">ROUND(P120*100*Q120,-1)</f>
        <v>5500</v>
      </c>
      <c r="AD120" s="10" t="s">
        <v>469</v>
      </c>
      <c r="AE120" s="16"/>
      <c r="AF120" s="16"/>
      <c r="AG120" s="16"/>
    </row>
    <row r="121" customFormat="false" ht="15" hidden="false" customHeight="false" outlineLevel="0" collapsed="false">
      <c r="A121" s="12" t="n">
        <v>120</v>
      </c>
      <c r="B121" s="13" t="s">
        <v>439</v>
      </c>
      <c r="C121" s="10" t="s">
        <v>470</v>
      </c>
      <c r="D121" s="14" t="s">
        <v>83</v>
      </c>
      <c r="E121" s="14" t="s">
        <v>83</v>
      </c>
      <c r="F121" s="15" t="n">
        <f aca="false">MAX(IFERROR(INDEX(Stations!$B$2:$B$31,MATCH(D121,Stations!$A$2:$A$31,0)),0),IFERROR(INDEX(Stations!$B$2:$B$31,MATCH(E121,Stations!$A$2:$A$31,0)),0))</f>
        <v>3.4</v>
      </c>
      <c r="G121" s="16" t="n">
        <v>40</v>
      </c>
      <c r="H121" s="16" t="n">
        <v>0</v>
      </c>
      <c r="I121" s="16" t="n">
        <v>11</v>
      </c>
      <c r="J121" s="16" t="n">
        <v>650</v>
      </c>
      <c r="K121" s="14" t="s">
        <v>128</v>
      </c>
      <c r="L121" s="14" t="s">
        <v>149</v>
      </c>
      <c r="M121" s="14" t="s">
        <v>471</v>
      </c>
      <c r="N121" s="16" t="n">
        <v>3</v>
      </c>
      <c r="O121" s="16" t="s">
        <v>226</v>
      </c>
      <c r="P121" s="12" t="n">
        <f aca="false">INDEX(Scale!$B$16:$B$26,MATCH(K121,Scale!$A$16:$A$26,0))</f>
        <v>6.3</v>
      </c>
      <c r="Q121" s="15" t="n">
        <f aca="false">I121/3+J121/350</f>
        <v>5.52380952380952</v>
      </c>
      <c r="R121" s="15" t="n">
        <f aca="false">I121/4.2+J121/500</f>
        <v>3.91904761904762</v>
      </c>
      <c r="S121" s="15" t="n">
        <f aca="false">2*F121+2*G121/60+2*H121/60+Q121+1</f>
        <v>14.6571428571429</v>
      </c>
      <c r="T121" s="15" t="n">
        <f aca="false">I121+J121/100</f>
        <v>17.5</v>
      </c>
      <c r="U121" s="12" t="n">
        <f aca="false">INDEX(Scale!$B$3:$B$12,MATCH(T121,Scale!$A$3:$A$12,1))</f>
        <v>5</v>
      </c>
      <c r="V121" s="12" t="n">
        <f aca="false">INDEX(Scale!$B$30:$B$38,MATCH(L121,Scale!$A$30:$A$38,0))</f>
        <v>3</v>
      </c>
      <c r="W121" s="17" t="n">
        <f aca="false">MAX(U121,V121)</f>
        <v>5</v>
      </c>
      <c r="X121" s="12" t="n">
        <f aca="false">IF(W121&lt;=3,1,IF(W121&lt;=5,2,IF(W121&lt;=7,3,IF(W121&lt;=8,4,5))))</f>
        <v>2</v>
      </c>
      <c r="Y121" s="13" t="str">
        <f aca="false">IF(S121&lt;=13,"1 day",IF(S121&lt;=15,"1 long day","2 days"))</f>
        <v>1 long day</v>
      </c>
      <c r="Z121" s="12" t="n">
        <f aca="false">ROUND(P121*130*Q121,-1)</f>
        <v>4520</v>
      </c>
      <c r="AA121" s="12" t="n">
        <f aca="false">ROUND(P121*120*Q121,-1)</f>
        <v>4180</v>
      </c>
      <c r="AB121" s="12" t="n">
        <f aca="false">ROUND(P121*110*Q121,-1)</f>
        <v>3830</v>
      </c>
      <c r="AC121" s="12" t="n">
        <f aca="false">ROUND(P121*100*Q121,-1)</f>
        <v>3480</v>
      </c>
      <c r="AD121" s="10" t="s">
        <v>472</v>
      </c>
      <c r="AE121" s="16"/>
      <c r="AF121" s="16"/>
      <c r="AG121" s="16"/>
    </row>
    <row r="122" customFormat="false" ht="15" hidden="false" customHeight="false" outlineLevel="0" collapsed="false">
      <c r="A122" s="12" t="n">
        <v>121</v>
      </c>
      <c r="B122" s="13" t="s">
        <v>439</v>
      </c>
      <c r="C122" s="10" t="s">
        <v>473</v>
      </c>
      <c r="D122" s="14" t="s">
        <v>83</v>
      </c>
      <c r="E122" s="14" t="s">
        <v>83</v>
      </c>
      <c r="F122" s="15" t="n">
        <f aca="false">MAX(IFERROR(INDEX(Stations!$B$2:$B$31,MATCH(D122,Stations!$A$2:$A$31,0)),0),IFERROR(INDEX(Stations!$B$2:$B$31,MATCH(E122,Stations!$A$2:$A$31,0)),0))</f>
        <v>3.4</v>
      </c>
      <c r="G122" s="16" t="n">
        <v>10</v>
      </c>
      <c r="H122" s="16" t="n">
        <v>0</v>
      </c>
      <c r="I122" s="16" t="n">
        <v>18</v>
      </c>
      <c r="J122" s="16" t="n">
        <v>1100</v>
      </c>
      <c r="K122" s="14" t="s">
        <v>132</v>
      </c>
      <c r="L122" s="14" t="s">
        <v>142</v>
      </c>
      <c r="M122" s="14" t="s">
        <v>286</v>
      </c>
      <c r="N122" s="16" t="n">
        <v>5</v>
      </c>
      <c r="O122" s="16" t="s">
        <v>252</v>
      </c>
      <c r="P122" s="12" t="n">
        <f aca="false">INDEX(Scale!$B$16:$B$26,MATCH(K122,Scale!$A$16:$A$26,0))</f>
        <v>7.5</v>
      </c>
      <c r="Q122" s="15" t="n">
        <f aca="false">I122/3+J122/350</f>
        <v>9.14285714285714</v>
      </c>
      <c r="R122" s="15" t="n">
        <f aca="false">I122/4.2+J122/500</f>
        <v>6.48571428571429</v>
      </c>
      <c r="S122" s="15" t="n">
        <f aca="false">2*F122+2*G122/60+2*H122/60+Q122+1</f>
        <v>17.2761904761905</v>
      </c>
      <c r="T122" s="15" t="n">
        <f aca="false">I122+J122/100</f>
        <v>29</v>
      </c>
      <c r="U122" s="12" t="n">
        <f aca="false">INDEX(Scale!$B$3:$B$12,MATCH(T122,Scale!$A$3:$A$12,1))</f>
        <v>7</v>
      </c>
      <c r="V122" s="12" t="n">
        <f aca="false">INDEX(Scale!$B$30:$B$38,MATCH(L122,Scale!$A$30:$A$38,0))</f>
        <v>9</v>
      </c>
      <c r="W122" s="17" t="n">
        <f aca="false">MAX(U122,V122)</f>
        <v>9</v>
      </c>
      <c r="X122" s="12" t="n">
        <f aca="false">IF(W122&lt;=3,1,IF(W122&lt;=5,2,IF(W122&lt;=7,3,IF(W122&lt;=8,4,5))))</f>
        <v>5</v>
      </c>
      <c r="Y122" s="13" t="str">
        <f aca="false">IF(S122&lt;=13,"1 day",IF(S122&lt;=15,"1 long day","2 days"))</f>
        <v>2 days</v>
      </c>
      <c r="Z122" s="12" t="n">
        <f aca="false">ROUND(P122*130*Q122,-1)</f>
        <v>8910</v>
      </c>
      <c r="AA122" s="12" t="n">
        <f aca="false">ROUND(P122*120*Q122,-1)</f>
        <v>8230</v>
      </c>
      <c r="AB122" s="12" t="n">
        <f aca="false">ROUND(P122*110*Q122,-1)</f>
        <v>7540</v>
      </c>
      <c r="AC122" s="12" t="n">
        <f aca="false">ROUND(P122*100*Q122,-1)</f>
        <v>6860</v>
      </c>
      <c r="AD122" s="10" t="s">
        <v>474</v>
      </c>
      <c r="AE122" s="16"/>
      <c r="AF122" s="16"/>
      <c r="AG122" s="16"/>
    </row>
    <row r="123" customFormat="false" ht="15" hidden="false" customHeight="false" outlineLevel="0" collapsed="false">
      <c r="A123" s="12" t="n">
        <v>122</v>
      </c>
      <c r="B123" s="13" t="s">
        <v>475</v>
      </c>
      <c r="C123" s="10" t="s">
        <v>476</v>
      </c>
      <c r="D123" s="14" t="s">
        <v>94</v>
      </c>
      <c r="E123" s="14" t="s">
        <v>94</v>
      </c>
      <c r="F123" s="15" t="n">
        <f aca="false">MAX(IFERROR(INDEX(Stations!$B$2:$B$31,MATCH(D123,Stations!$A$2:$A$31,0)),0),IFERROR(INDEX(Stations!$B$2:$B$31,MATCH(E123,Stations!$A$2:$A$31,0)),0))</f>
        <v>2.7</v>
      </c>
      <c r="G123" s="16" t="n">
        <v>10</v>
      </c>
      <c r="H123" s="16" t="n">
        <v>35</v>
      </c>
      <c r="I123" s="16" t="n">
        <v>12</v>
      </c>
      <c r="J123" s="16" t="n">
        <v>800</v>
      </c>
      <c r="K123" s="14" t="s">
        <v>130</v>
      </c>
      <c r="L123" s="14" t="s">
        <v>149</v>
      </c>
      <c r="M123" s="14" t="s">
        <v>239</v>
      </c>
      <c r="N123" s="16" t="n">
        <v>2</v>
      </c>
      <c r="O123" s="16" t="s">
        <v>221</v>
      </c>
      <c r="P123" s="12" t="n">
        <f aca="false">INDEX(Scale!$B$16:$B$26,MATCH(K123,Scale!$A$16:$A$26,0))</f>
        <v>7</v>
      </c>
      <c r="Q123" s="15" t="n">
        <f aca="false">I123/3+J123/350</f>
        <v>6.28571428571429</v>
      </c>
      <c r="R123" s="15" t="n">
        <f aca="false">I123/4.2+J123/500</f>
        <v>4.45714285714286</v>
      </c>
      <c r="S123" s="15" t="n">
        <f aca="false">2*F123+2*G123/60+2*H123/60+Q123+1</f>
        <v>14.1857142857143</v>
      </c>
      <c r="T123" s="15" t="n">
        <f aca="false">I123+J123/100</f>
        <v>20</v>
      </c>
      <c r="U123" s="12" t="n">
        <f aca="false">INDEX(Scale!$B$3:$B$12,MATCH(T123,Scale!$A$3:$A$12,1))</f>
        <v>5</v>
      </c>
      <c r="V123" s="12" t="n">
        <f aca="false">INDEX(Scale!$B$30:$B$38,MATCH(L123,Scale!$A$30:$A$38,0))</f>
        <v>3</v>
      </c>
      <c r="W123" s="17" t="n">
        <f aca="false">MAX(U123,V123)</f>
        <v>5</v>
      </c>
      <c r="X123" s="12" t="n">
        <f aca="false">IF(W123&lt;=3,1,IF(W123&lt;=5,2,IF(W123&lt;=7,3,IF(W123&lt;=8,4,5))))</f>
        <v>2</v>
      </c>
      <c r="Y123" s="13" t="str">
        <f aca="false">IF(S123&lt;=13,"1 day",IF(S123&lt;=15,"1 long day","2 days"))</f>
        <v>1 long day</v>
      </c>
      <c r="Z123" s="12" t="n">
        <f aca="false">ROUND(P123*130*Q123,-1)</f>
        <v>5720</v>
      </c>
      <c r="AA123" s="12" t="n">
        <f aca="false">ROUND(P123*120*Q123,-1)</f>
        <v>5280</v>
      </c>
      <c r="AB123" s="12" t="n">
        <f aca="false">ROUND(P123*110*Q123,-1)</f>
        <v>4840</v>
      </c>
      <c r="AC123" s="12" t="n">
        <f aca="false">ROUND(P123*100*Q123,-1)</f>
        <v>4400</v>
      </c>
      <c r="AD123" s="10" t="s">
        <v>477</v>
      </c>
      <c r="AE123" s="16"/>
      <c r="AF123" s="16"/>
      <c r="AG123" s="16"/>
    </row>
    <row r="124" customFormat="false" ht="15" hidden="false" customHeight="false" outlineLevel="0" collapsed="false">
      <c r="A124" s="12" t="n">
        <v>123</v>
      </c>
      <c r="B124" s="13" t="s">
        <v>475</v>
      </c>
      <c r="C124" s="10" t="s">
        <v>478</v>
      </c>
      <c r="D124" s="14" t="s">
        <v>94</v>
      </c>
      <c r="E124" s="14" t="s">
        <v>94</v>
      </c>
      <c r="F124" s="15" t="n">
        <f aca="false">MAX(IFERROR(INDEX(Stations!$B$2:$B$31,MATCH(D124,Stations!$A$2:$A$31,0)),0),IFERROR(INDEX(Stations!$B$2:$B$31,MATCH(E124,Stations!$A$2:$A$31,0)),0))</f>
        <v>2.7</v>
      </c>
      <c r="G124" s="16" t="n">
        <v>10</v>
      </c>
      <c r="H124" s="16" t="n">
        <v>35</v>
      </c>
      <c r="I124" s="16" t="n">
        <v>14</v>
      </c>
      <c r="J124" s="16" t="n">
        <v>900</v>
      </c>
      <c r="K124" s="14" t="s">
        <v>130</v>
      </c>
      <c r="L124" s="14" t="s">
        <v>153</v>
      </c>
      <c r="M124" s="14" t="s">
        <v>239</v>
      </c>
      <c r="N124" s="16" t="n">
        <v>3</v>
      </c>
      <c r="O124" s="16" t="s">
        <v>221</v>
      </c>
      <c r="P124" s="12" t="n">
        <f aca="false">INDEX(Scale!$B$16:$B$26,MATCH(K124,Scale!$A$16:$A$26,0))</f>
        <v>7</v>
      </c>
      <c r="Q124" s="15" t="n">
        <f aca="false">I124/3+J124/350</f>
        <v>7.23809523809524</v>
      </c>
      <c r="R124" s="15" t="n">
        <f aca="false">I124/4.2+J124/500</f>
        <v>5.13333333333333</v>
      </c>
      <c r="S124" s="15" t="n">
        <f aca="false">2*F124+2*G124/60+2*H124/60+Q124+1</f>
        <v>15.1380952380952</v>
      </c>
      <c r="T124" s="15" t="n">
        <f aca="false">I124+J124/100</f>
        <v>23</v>
      </c>
      <c r="U124" s="12" t="n">
        <f aca="false">INDEX(Scale!$B$3:$B$12,MATCH(T124,Scale!$A$3:$A$12,1))</f>
        <v>6</v>
      </c>
      <c r="V124" s="12" t="n">
        <f aca="false">INDEX(Scale!$B$30:$B$38,MATCH(L124,Scale!$A$30:$A$38,0))</f>
        <v>6</v>
      </c>
      <c r="W124" s="17" t="n">
        <f aca="false">MAX(U124,V124)</f>
        <v>6</v>
      </c>
      <c r="X124" s="12" t="n">
        <f aca="false">IF(W124&lt;=3,1,IF(W124&lt;=5,2,IF(W124&lt;=7,3,IF(W124&lt;=8,4,5))))</f>
        <v>3</v>
      </c>
      <c r="Y124" s="13" t="str">
        <f aca="false">IF(S124&lt;=13,"1 day",IF(S124&lt;=15,"1 long day","2 days"))</f>
        <v>2 days</v>
      </c>
      <c r="Z124" s="12" t="n">
        <f aca="false">ROUND(P124*130*Q124,-1)</f>
        <v>6590</v>
      </c>
      <c r="AA124" s="12" t="n">
        <f aca="false">ROUND(P124*120*Q124,-1)</f>
        <v>6080</v>
      </c>
      <c r="AB124" s="12" t="n">
        <f aca="false">ROUND(P124*110*Q124,-1)</f>
        <v>5570</v>
      </c>
      <c r="AC124" s="12" t="n">
        <f aca="false">ROUND(P124*100*Q124,-1)</f>
        <v>5070</v>
      </c>
      <c r="AD124" s="10" t="s">
        <v>479</v>
      </c>
      <c r="AE124" s="16"/>
      <c r="AF124" s="16"/>
      <c r="AG124" s="16"/>
    </row>
    <row r="125" customFormat="false" ht="15" hidden="false" customHeight="false" outlineLevel="0" collapsed="false">
      <c r="A125" s="12" t="n">
        <v>124</v>
      </c>
      <c r="B125" s="13" t="s">
        <v>475</v>
      </c>
      <c r="C125" s="10" t="s">
        <v>480</v>
      </c>
      <c r="D125" s="14" t="s">
        <v>94</v>
      </c>
      <c r="E125" s="14" t="s">
        <v>94</v>
      </c>
      <c r="F125" s="15" t="n">
        <f aca="false">MAX(IFERROR(INDEX(Stations!$B$2:$B$31,MATCH(D125,Stations!$A$2:$A$31,0)),0),IFERROR(INDEX(Stations!$B$2:$B$31,MATCH(E125,Stations!$A$2:$A$31,0)),0))</f>
        <v>2.7</v>
      </c>
      <c r="G125" s="16" t="n">
        <v>10</v>
      </c>
      <c r="H125" s="16" t="n">
        <v>35</v>
      </c>
      <c r="I125" s="16" t="n">
        <v>16</v>
      </c>
      <c r="J125" s="16" t="n">
        <v>1000</v>
      </c>
      <c r="K125" s="14" t="s">
        <v>130</v>
      </c>
      <c r="L125" s="14" t="s">
        <v>153</v>
      </c>
      <c r="M125" s="14" t="s">
        <v>239</v>
      </c>
      <c r="N125" s="16" t="n">
        <v>3</v>
      </c>
      <c r="O125" s="16" t="s">
        <v>221</v>
      </c>
      <c r="P125" s="12" t="n">
        <f aca="false">INDEX(Scale!$B$16:$B$26,MATCH(K125,Scale!$A$16:$A$26,0))</f>
        <v>7</v>
      </c>
      <c r="Q125" s="15" t="n">
        <f aca="false">I125/3+J125/350</f>
        <v>8.19047619047619</v>
      </c>
      <c r="R125" s="15" t="n">
        <f aca="false">I125/4.2+J125/500</f>
        <v>5.80952380952381</v>
      </c>
      <c r="S125" s="15" t="n">
        <f aca="false">2*F125+2*G125/60+2*H125/60+Q125+1</f>
        <v>16.0904761904762</v>
      </c>
      <c r="T125" s="15" t="n">
        <f aca="false">I125+J125/100</f>
        <v>26</v>
      </c>
      <c r="U125" s="12" t="n">
        <f aca="false">INDEX(Scale!$B$3:$B$12,MATCH(T125,Scale!$A$3:$A$12,1))</f>
        <v>6</v>
      </c>
      <c r="V125" s="12" t="n">
        <f aca="false">INDEX(Scale!$B$30:$B$38,MATCH(L125,Scale!$A$30:$A$38,0))</f>
        <v>6</v>
      </c>
      <c r="W125" s="17" t="n">
        <f aca="false">MAX(U125,V125)</f>
        <v>6</v>
      </c>
      <c r="X125" s="12" t="n">
        <f aca="false">IF(W125&lt;=3,1,IF(W125&lt;=5,2,IF(W125&lt;=7,3,IF(W125&lt;=8,4,5))))</f>
        <v>3</v>
      </c>
      <c r="Y125" s="13" t="str">
        <f aca="false">IF(S125&lt;=13,"1 day",IF(S125&lt;=15,"1 long day","2 days"))</f>
        <v>2 days</v>
      </c>
      <c r="Z125" s="12" t="n">
        <f aca="false">ROUND(P125*130*Q125,-1)</f>
        <v>7450</v>
      </c>
      <c r="AA125" s="12" t="n">
        <f aca="false">ROUND(P125*120*Q125,-1)</f>
        <v>6880</v>
      </c>
      <c r="AB125" s="12" t="n">
        <f aca="false">ROUND(P125*110*Q125,-1)</f>
        <v>6310</v>
      </c>
      <c r="AC125" s="12" t="n">
        <f aca="false">ROUND(P125*100*Q125,-1)</f>
        <v>5730</v>
      </c>
      <c r="AD125" s="10" t="s">
        <v>481</v>
      </c>
      <c r="AE125" s="16"/>
      <c r="AF125" s="16"/>
      <c r="AG125" s="16"/>
    </row>
    <row r="126" customFormat="false" ht="15" hidden="false" customHeight="false" outlineLevel="0" collapsed="false">
      <c r="A126" s="12" t="n">
        <v>125</v>
      </c>
      <c r="B126" s="13" t="s">
        <v>475</v>
      </c>
      <c r="C126" s="10" t="s">
        <v>482</v>
      </c>
      <c r="D126" s="14" t="s">
        <v>94</v>
      </c>
      <c r="E126" s="14" t="s">
        <v>94</v>
      </c>
      <c r="F126" s="15" t="n">
        <f aca="false">MAX(IFERROR(INDEX(Stations!$B$2:$B$31,MATCH(D126,Stations!$A$2:$A$31,0)),0),IFERROR(INDEX(Stations!$B$2:$B$31,MATCH(E126,Stations!$A$2:$A$31,0)),0))</f>
        <v>2.7</v>
      </c>
      <c r="G126" s="16" t="n">
        <v>10</v>
      </c>
      <c r="H126" s="16" t="n">
        <v>35</v>
      </c>
      <c r="I126" s="16" t="n">
        <v>13</v>
      </c>
      <c r="J126" s="16" t="n">
        <v>850</v>
      </c>
      <c r="K126" s="14" t="s">
        <v>130</v>
      </c>
      <c r="L126" s="14" t="s">
        <v>149</v>
      </c>
      <c r="M126" s="14" t="s">
        <v>239</v>
      </c>
      <c r="N126" s="16" t="n">
        <v>3</v>
      </c>
      <c r="O126" s="16" t="s">
        <v>226</v>
      </c>
      <c r="P126" s="12" t="n">
        <f aca="false">INDEX(Scale!$B$16:$B$26,MATCH(K126,Scale!$A$16:$A$26,0))</f>
        <v>7</v>
      </c>
      <c r="Q126" s="15" t="n">
        <f aca="false">I126/3+J126/350</f>
        <v>6.76190476190476</v>
      </c>
      <c r="R126" s="15" t="n">
        <f aca="false">I126/4.2+J126/500</f>
        <v>4.7952380952381</v>
      </c>
      <c r="S126" s="15" t="n">
        <f aca="false">2*F126+2*G126/60+2*H126/60+Q126+1</f>
        <v>14.6619047619048</v>
      </c>
      <c r="T126" s="15" t="n">
        <f aca="false">I126+J126/100</f>
        <v>21.5</v>
      </c>
      <c r="U126" s="12" t="n">
        <f aca="false">INDEX(Scale!$B$3:$B$12,MATCH(T126,Scale!$A$3:$A$12,1))</f>
        <v>6</v>
      </c>
      <c r="V126" s="12" t="n">
        <f aca="false">INDEX(Scale!$B$30:$B$38,MATCH(L126,Scale!$A$30:$A$38,0))</f>
        <v>3</v>
      </c>
      <c r="W126" s="17" t="n">
        <f aca="false">MAX(U126,V126)</f>
        <v>6</v>
      </c>
      <c r="X126" s="12" t="n">
        <f aca="false">IF(W126&lt;=3,1,IF(W126&lt;=5,2,IF(W126&lt;=7,3,IF(W126&lt;=8,4,5))))</f>
        <v>3</v>
      </c>
      <c r="Y126" s="13" t="str">
        <f aca="false">IF(S126&lt;=13,"1 day",IF(S126&lt;=15,"1 long day","2 days"))</f>
        <v>1 long day</v>
      </c>
      <c r="Z126" s="12" t="n">
        <f aca="false">ROUND(P126*130*Q126,-1)</f>
        <v>6150</v>
      </c>
      <c r="AA126" s="12" t="n">
        <f aca="false">ROUND(P126*120*Q126,-1)</f>
        <v>5680</v>
      </c>
      <c r="AB126" s="12" t="n">
        <f aca="false">ROUND(P126*110*Q126,-1)</f>
        <v>5210</v>
      </c>
      <c r="AC126" s="12" t="n">
        <f aca="false">ROUND(P126*100*Q126,-1)</f>
        <v>4730</v>
      </c>
      <c r="AD126" s="10" t="s">
        <v>483</v>
      </c>
      <c r="AE126" s="16"/>
      <c r="AF126" s="16"/>
      <c r="AG126" s="16"/>
    </row>
    <row r="127" customFormat="false" ht="15" hidden="false" customHeight="false" outlineLevel="0" collapsed="false">
      <c r="A127" s="12" t="n">
        <v>126</v>
      </c>
      <c r="B127" s="13" t="s">
        <v>475</v>
      </c>
      <c r="C127" s="10" t="s">
        <v>484</v>
      </c>
      <c r="D127" s="14" t="s">
        <v>94</v>
      </c>
      <c r="E127" s="14" t="s">
        <v>94</v>
      </c>
      <c r="F127" s="15" t="n">
        <f aca="false">MAX(IFERROR(INDEX(Stations!$B$2:$B$31,MATCH(D127,Stations!$A$2:$A$31,0)),0),IFERROR(INDEX(Stations!$B$2:$B$31,MATCH(E127,Stations!$A$2:$A$31,0)),0))</f>
        <v>2.7</v>
      </c>
      <c r="G127" s="16" t="n">
        <v>10</v>
      </c>
      <c r="H127" s="16" t="n">
        <v>35</v>
      </c>
      <c r="I127" s="16" t="n">
        <v>18</v>
      </c>
      <c r="J127" s="16" t="n">
        <v>1100</v>
      </c>
      <c r="K127" s="14" t="s">
        <v>130</v>
      </c>
      <c r="L127" s="14" t="s">
        <v>153</v>
      </c>
      <c r="M127" s="14" t="s">
        <v>239</v>
      </c>
      <c r="N127" s="16" t="n">
        <v>4</v>
      </c>
      <c r="O127" s="16" t="s">
        <v>226</v>
      </c>
      <c r="P127" s="12" t="n">
        <f aca="false">INDEX(Scale!$B$16:$B$26,MATCH(K127,Scale!$A$16:$A$26,0))</f>
        <v>7</v>
      </c>
      <c r="Q127" s="15" t="n">
        <f aca="false">I127/3+J127/350</f>
        <v>9.14285714285714</v>
      </c>
      <c r="R127" s="15" t="n">
        <f aca="false">I127/4.2+J127/500</f>
        <v>6.48571428571429</v>
      </c>
      <c r="S127" s="15" t="n">
        <f aca="false">2*F127+2*G127/60+2*H127/60+Q127+1</f>
        <v>17.0428571428571</v>
      </c>
      <c r="T127" s="15" t="n">
        <f aca="false">I127+J127/100</f>
        <v>29</v>
      </c>
      <c r="U127" s="12" t="n">
        <f aca="false">INDEX(Scale!$B$3:$B$12,MATCH(T127,Scale!$A$3:$A$12,1))</f>
        <v>7</v>
      </c>
      <c r="V127" s="12" t="n">
        <f aca="false">INDEX(Scale!$B$30:$B$38,MATCH(L127,Scale!$A$30:$A$38,0))</f>
        <v>6</v>
      </c>
      <c r="W127" s="17" t="n">
        <f aca="false">MAX(U127,V127)</f>
        <v>7</v>
      </c>
      <c r="X127" s="12" t="n">
        <f aca="false">IF(W127&lt;=3,1,IF(W127&lt;=5,2,IF(W127&lt;=7,3,IF(W127&lt;=8,4,5))))</f>
        <v>3</v>
      </c>
      <c r="Y127" s="13" t="str">
        <f aca="false">IF(S127&lt;=13,"1 day",IF(S127&lt;=15,"1 long day","2 days"))</f>
        <v>2 days</v>
      </c>
      <c r="Z127" s="12" t="n">
        <f aca="false">ROUND(P127*130*Q127,-1)</f>
        <v>8320</v>
      </c>
      <c r="AA127" s="12" t="n">
        <f aca="false">ROUND(P127*120*Q127,-1)</f>
        <v>7680</v>
      </c>
      <c r="AB127" s="12" t="n">
        <f aca="false">ROUND(P127*110*Q127,-1)</f>
        <v>7040</v>
      </c>
      <c r="AC127" s="12" t="n">
        <f aca="false">ROUND(P127*100*Q127,-1)</f>
        <v>6400</v>
      </c>
      <c r="AD127" s="10" t="s">
        <v>485</v>
      </c>
      <c r="AE127" s="16"/>
      <c r="AF127" s="16"/>
      <c r="AG127" s="16"/>
    </row>
    <row r="128" customFormat="false" ht="15" hidden="false" customHeight="false" outlineLevel="0" collapsed="false">
      <c r="A128" s="12" t="n">
        <v>127</v>
      </c>
      <c r="B128" s="13" t="s">
        <v>475</v>
      </c>
      <c r="C128" s="10" t="s">
        <v>486</v>
      </c>
      <c r="D128" s="14" t="s">
        <v>94</v>
      </c>
      <c r="E128" s="14" t="s">
        <v>94</v>
      </c>
      <c r="F128" s="15" t="n">
        <f aca="false">MAX(IFERROR(INDEX(Stations!$B$2:$B$31,MATCH(D128,Stations!$A$2:$A$31,0)),0),IFERROR(INDEX(Stations!$B$2:$B$31,MATCH(E128,Stations!$A$2:$A$31,0)),0))</f>
        <v>2.7</v>
      </c>
      <c r="G128" s="16" t="n">
        <v>5</v>
      </c>
      <c r="H128" s="16" t="n">
        <v>0</v>
      </c>
      <c r="I128" s="16" t="n">
        <v>9</v>
      </c>
      <c r="J128" s="16" t="n">
        <v>150</v>
      </c>
      <c r="K128" s="14" t="s">
        <v>124</v>
      </c>
      <c r="L128" s="14" t="s">
        <v>147</v>
      </c>
      <c r="M128" s="14" t="s">
        <v>220</v>
      </c>
      <c r="N128" s="16" t="n">
        <v>4</v>
      </c>
      <c r="O128" s="16" t="s">
        <v>226</v>
      </c>
      <c r="P128" s="12" t="n">
        <f aca="false">INDEX(Scale!$B$16:$B$26,MATCH(K128,Scale!$A$16:$A$26,0))</f>
        <v>4.5</v>
      </c>
      <c r="Q128" s="15" t="n">
        <f aca="false">I128/3+J128/350</f>
        <v>3.42857142857143</v>
      </c>
      <c r="R128" s="15" t="n">
        <f aca="false">I128/4.2+J128/500</f>
        <v>2.44285714285714</v>
      </c>
      <c r="S128" s="15" t="n">
        <f aca="false">2*F128+2*G128/60+2*H128/60+Q128+1</f>
        <v>9.9952380952381</v>
      </c>
      <c r="T128" s="15" t="n">
        <f aca="false">I128+J128/100</f>
        <v>10.5</v>
      </c>
      <c r="U128" s="12" t="n">
        <f aca="false">INDEX(Scale!$B$3:$B$12,MATCH(T128,Scale!$A$3:$A$12,1))</f>
        <v>3</v>
      </c>
      <c r="V128" s="12" t="n">
        <f aca="false">INDEX(Scale!$B$30:$B$38,MATCH(L128,Scale!$A$30:$A$38,0))</f>
        <v>0</v>
      </c>
      <c r="W128" s="17" t="n">
        <f aca="false">MAX(U128,V128)</f>
        <v>3</v>
      </c>
      <c r="X128" s="12" t="n">
        <f aca="false">IF(W128&lt;=3,1,IF(W128&lt;=5,2,IF(W128&lt;=7,3,IF(W128&lt;=8,4,5))))</f>
        <v>1</v>
      </c>
      <c r="Y128" s="13" t="str">
        <f aca="false">IF(S128&lt;=13,"1 day",IF(S128&lt;=15,"1 long day","2 days"))</f>
        <v>1 day</v>
      </c>
      <c r="Z128" s="12" t="n">
        <f aca="false">ROUND(P128*130*Q128,-1)</f>
        <v>2010</v>
      </c>
      <c r="AA128" s="12" t="n">
        <f aca="false">ROUND(P128*120*Q128,-1)</f>
        <v>1850</v>
      </c>
      <c r="AB128" s="12" t="n">
        <f aca="false">ROUND(P128*110*Q128,-1)</f>
        <v>1700</v>
      </c>
      <c r="AC128" s="12" t="n">
        <f aca="false">ROUND(P128*100*Q128,-1)</f>
        <v>1540</v>
      </c>
      <c r="AD128" s="10" t="s">
        <v>487</v>
      </c>
      <c r="AE128" s="16"/>
      <c r="AF128" s="16"/>
      <c r="AG128" s="16"/>
    </row>
    <row r="129" customFormat="false" ht="15" hidden="false" customHeight="false" outlineLevel="0" collapsed="false">
      <c r="A129" s="12" t="n">
        <v>128</v>
      </c>
      <c r="B129" s="13" t="s">
        <v>475</v>
      </c>
      <c r="C129" s="10" t="s">
        <v>488</v>
      </c>
      <c r="D129" s="14" t="s">
        <v>94</v>
      </c>
      <c r="E129" s="14" t="s">
        <v>94</v>
      </c>
      <c r="F129" s="15" t="n">
        <f aca="false">MAX(IFERROR(INDEX(Stations!$B$2:$B$31,MATCH(D129,Stations!$A$2:$A$31,0)),0),IFERROR(INDEX(Stations!$B$2:$B$31,MATCH(E129,Stations!$A$2:$A$31,0)),0))</f>
        <v>2.7</v>
      </c>
      <c r="G129" s="16" t="n">
        <v>5</v>
      </c>
      <c r="H129" s="16" t="n">
        <v>0</v>
      </c>
      <c r="I129" s="16" t="n">
        <v>10</v>
      </c>
      <c r="J129" s="16" t="n">
        <v>300</v>
      </c>
      <c r="K129" s="14" t="s">
        <v>126</v>
      </c>
      <c r="L129" s="14" t="s">
        <v>147</v>
      </c>
      <c r="M129" s="14" t="s">
        <v>220</v>
      </c>
      <c r="N129" s="16" t="n">
        <v>5</v>
      </c>
      <c r="O129" s="16" t="s">
        <v>252</v>
      </c>
      <c r="P129" s="12" t="n">
        <f aca="false">INDEX(Scale!$B$16:$B$26,MATCH(K129,Scale!$A$16:$A$26,0))</f>
        <v>5.5</v>
      </c>
      <c r="Q129" s="15" t="n">
        <f aca="false">I129/3+J129/350</f>
        <v>4.19047619047619</v>
      </c>
      <c r="R129" s="15" t="n">
        <f aca="false">I129/4.2+J129/500</f>
        <v>2.98095238095238</v>
      </c>
      <c r="S129" s="15" t="n">
        <f aca="false">2*F129+2*G129/60+2*H129/60+Q129+1</f>
        <v>10.7571428571429</v>
      </c>
      <c r="T129" s="15" t="n">
        <f aca="false">I129+J129/100</f>
        <v>13</v>
      </c>
      <c r="U129" s="12" t="n">
        <f aca="false">INDEX(Scale!$B$3:$B$12,MATCH(T129,Scale!$A$3:$A$12,1))</f>
        <v>4</v>
      </c>
      <c r="V129" s="12" t="n">
        <f aca="false">INDEX(Scale!$B$30:$B$38,MATCH(L129,Scale!$A$30:$A$38,0))</f>
        <v>0</v>
      </c>
      <c r="W129" s="17" t="n">
        <f aca="false">MAX(U129,V129)</f>
        <v>4</v>
      </c>
      <c r="X129" s="12" t="n">
        <f aca="false">IF(W129&lt;=3,1,IF(W129&lt;=5,2,IF(W129&lt;=7,3,IF(W129&lt;=8,4,5))))</f>
        <v>2</v>
      </c>
      <c r="Y129" s="13" t="str">
        <f aca="false">IF(S129&lt;=13,"1 day",IF(S129&lt;=15,"1 long day","2 days"))</f>
        <v>1 day</v>
      </c>
      <c r="Z129" s="12" t="n">
        <f aca="false">ROUND(P129*130*Q129,-1)</f>
        <v>3000</v>
      </c>
      <c r="AA129" s="12" t="n">
        <f aca="false">ROUND(P129*120*Q129,-1)</f>
        <v>2770</v>
      </c>
      <c r="AB129" s="12" t="n">
        <f aca="false">ROUND(P129*110*Q129,-1)</f>
        <v>2540</v>
      </c>
      <c r="AC129" s="12" t="n">
        <f aca="false">ROUND(P129*100*Q129,-1)</f>
        <v>2300</v>
      </c>
      <c r="AD129" s="10" t="s">
        <v>489</v>
      </c>
      <c r="AE129" s="16"/>
      <c r="AF129" s="16"/>
      <c r="AG129" s="16"/>
    </row>
    <row r="130" customFormat="false" ht="15" hidden="false" customHeight="false" outlineLevel="0" collapsed="false">
      <c r="A130" s="12" t="n">
        <v>129</v>
      </c>
      <c r="B130" s="13" t="s">
        <v>475</v>
      </c>
      <c r="C130" s="10" t="s">
        <v>490</v>
      </c>
      <c r="D130" s="14" t="s">
        <v>91</v>
      </c>
      <c r="E130" s="14" t="s">
        <v>91</v>
      </c>
      <c r="F130" s="15" t="n">
        <f aca="false">MAX(IFERROR(INDEX(Stations!$B$2:$B$31,MATCH(D130,Stations!$A$2:$A$31,0)),0),IFERROR(INDEX(Stations!$B$2:$B$31,MATCH(E130,Stations!$A$2:$A$31,0)),0))</f>
        <v>2.2</v>
      </c>
      <c r="G130" s="16" t="n">
        <v>10</v>
      </c>
      <c r="H130" s="16" t="n">
        <v>0</v>
      </c>
      <c r="I130" s="16" t="n">
        <v>11</v>
      </c>
      <c r="J130" s="16" t="n">
        <v>400</v>
      </c>
      <c r="K130" s="14" t="s">
        <v>126</v>
      </c>
      <c r="L130" s="14" t="s">
        <v>147</v>
      </c>
      <c r="M130" s="14" t="s">
        <v>220</v>
      </c>
      <c r="N130" s="16" t="n">
        <v>5</v>
      </c>
      <c r="O130" s="16" t="s">
        <v>252</v>
      </c>
      <c r="P130" s="12" t="n">
        <f aca="false">INDEX(Scale!$B$16:$B$26,MATCH(K130,Scale!$A$16:$A$26,0))</f>
        <v>5.5</v>
      </c>
      <c r="Q130" s="15" t="n">
        <f aca="false">I130/3+J130/350</f>
        <v>4.80952380952381</v>
      </c>
      <c r="R130" s="15" t="n">
        <f aca="false">I130/4.2+J130/500</f>
        <v>3.41904761904762</v>
      </c>
      <c r="S130" s="15" t="n">
        <f aca="false">2*F130+2*G130/60+2*H130/60+Q130+1</f>
        <v>10.5428571428571</v>
      </c>
      <c r="T130" s="15" t="n">
        <f aca="false">I130+J130/100</f>
        <v>15</v>
      </c>
      <c r="U130" s="12" t="n">
        <f aca="false">INDEX(Scale!$B$3:$B$12,MATCH(T130,Scale!$A$3:$A$12,1))</f>
        <v>4</v>
      </c>
      <c r="V130" s="12" t="n">
        <f aca="false">INDEX(Scale!$B$30:$B$38,MATCH(L130,Scale!$A$30:$A$38,0))</f>
        <v>0</v>
      </c>
      <c r="W130" s="17" t="n">
        <f aca="false">MAX(U130,V130)</f>
        <v>4</v>
      </c>
      <c r="X130" s="12" t="n">
        <f aca="false">IF(W130&lt;=3,1,IF(W130&lt;=5,2,IF(W130&lt;=7,3,IF(W130&lt;=8,4,5))))</f>
        <v>2</v>
      </c>
      <c r="Y130" s="13" t="str">
        <f aca="false">IF(S130&lt;=13,"1 day",IF(S130&lt;=15,"1 long day","2 days"))</f>
        <v>1 day</v>
      </c>
      <c r="Z130" s="12" t="n">
        <f aca="false">ROUND(P130*130*Q130,-1)</f>
        <v>3440</v>
      </c>
      <c r="AA130" s="12" t="n">
        <f aca="false">ROUND(P130*120*Q130,-1)</f>
        <v>3170</v>
      </c>
      <c r="AB130" s="12" t="n">
        <f aca="false">ROUND(P130*110*Q130,-1)</f>
        <v>2910</v>
      </c>
      <c r="AC130" s="12" t="n">
        <f aca="false">ROUND(P130*100*Q130,-1)</f>
        <v>2650</v>
      </c>
      <c r="AD130" s="10" t="s">
        <v>491</v>
      </c>
      <c r="AE130" s="16"/>
      <c r="AF130" s="16"/>
      <c r="AG130" s="16"/>
    </row>
    <row r="131" customFormat="false" ht="15" hidden="false" customHeight="false" outlineLevel="0" collapsed="false">
      <c r="A131" s="12" t="n">
        <v>130</v>
      </c>
      <c r="B131" s="13" t="s">
        <v>492</v>
      </c>
      <c r="C131" s="10" t="s">
        <v>493</v>
      </c>
      <c r="D131" s="14" t="s">
        <v>95</v>
      </c>
      <c r="E131" s="14" t="s">
        <v>95</v>
      </c>
      <c r="F131" s="15" t="n">
        <f aca="false">MAX(IFERROR(INDEX(Stations!$B$2:$B$31,MATCH(D131,Stations!$A$2:$A$31,0)),0),IFERROR(INDEX(Stations!$B$2:$B$31,MATCH(E131,Stations!$A$2:$A$31,0)),0))</f>
        <v>2.5</v>
      </c>
      <c r="G131" s="16" t="n">
        <v>10</v>
      </c>
      <c r="H131" s="16" t="n">
        <v>0</v>
      </c>
      <c r="I131" s="16" t="n">
        <v>5</v>
      </c>
      <c r="J131" s="16" t="n">
        <v>150</v>
      </c>
      <c r="K131" s="14" t="s">
        <v>128</v>
      </c>
      <c r="L131" s="14" t="s">
        <v>147</v>
      </c>
      <c r="M131" s="14" t="s">
        <v>220</v>
      </c>
      <c r="N131" s="16" t="n">
        <v>2</v>
      </c>
      <c r="O131" s="16" t="s">
        <v>221</v>
      </c>
      <c r="P131" s="12" t="n">
        <f aca="false">INDEX(Scale!$B$16:$B$26,MATCH(K131,Scale!$A$16:$A$26,0))</f>
        <v>6.3</v>
      </c>
      <c r="Q131" s="15" t="n">
        <f aca="false">I131/3+J131/350</f>
        <v>2.0952380952381</v>
      </c>
      <c r="R131" s="15" t="n">
        <f aca="false">I131/4.2+J131/500</f>
        <v>1.49047619047619</v>
      </c>
      <c r="S131" s="15" t="n">
        <f aca="false">2*F131+2*G131/60+2*H131/60+Q131+1</f>
        <v>8.42857142857143</v>
      </c>
      <c r="T131" s="15" t="n">
        <f aca="false">I131+J131/100</f>
        <v>6.5</v>
      </c>
      <c r="U131" s="12" t="n">
        <f aca="false">INDEX(Scale!$B$3:$B$12,MATCH(T131,Scale!$A$3:$A$12,1))</f>
        <v>2</v>
      </c>
      <c r="V131" s="12" t="n">
        <f aca="false">INDEX(Scale!$B$30:$B$38,MATCH(L131,Scale!$A$30:$A$38,0))</f>
        <v>0</v>
      </c>
      <c r="W131" s="17" t="n">
        <f aca="false">MAX(U131,V131)</f>
        <v>2</v>
      </c>
      <c r="X131" s="12" t="n">
        <f aca="false">IF(W131&lt;=3,1,IF(W131&lt;=5,2,IF(W131&lt;=7,3,IF(W131&lt;=8,4,5))))</f>
        <v>1</v>
      </c>
      <c r="Y131" s="13" t="str">
        <f aca="false">IF(S131&lt;=13,"1 day",IF(S131&lt;=15,"1 long day","2 days"))</f>
        <v>1 day</v>
      </c>
      <c r="Z131" s="12" t="n">
        <f aca="false">ROUND(P131*130*Q131,-1)</f>
        <v>1720</v>
      </c>
      <c r="AA131" s="12" t="n">
        <f aca="false">ROUND(P131*120*Q131,-1)</f>
        <v>1580</v>
      </c>
      <c r="AB131" s="12" t="n">
        <f aca="false">ROUND(P131*110*Q131,-1)</f>
        <v>1450</v>
      </c>
      <c r="AC131" s="12" t="n">
        <f aca="false">ROUND(P131*100*Q131,-1)</f>
        <v>1320</v>
      </c>
      <c r="AD131" s="10" t="s">
        <v>494</v>
      </c>
      <c r="AE131" s="16"/>
      <c r="AF131" s="16"/>
      <c r="AG131" s="16"/>
    </row>
    <row r="132" customFormat="false" ht="15" hidden="false" customHeight="false" outlineLevel="0" collapsed="false">
      <c r="A132" s="12" t="n">
        <v>131</v>
      </c>
      <c r="B132" s="13" t="s">
        <v>492</v>
      </c>
      <c r="C132" s="10" t="s">
        <v>495</v>
      </c>
      <c r="D132" s="14" t="s">
        <v>95</v>
      </c>
      <c r="E132" s="14" t="s">
        <v>95</v>
      </c>
      <c r="F132" s="15" t="n">
        <f aca="false">MAX(IFERROR(INDEX(Stations!$B$2:$B$31,MATCH(D132,Stations!$A$2:$A$31,0)),0),IFERROR(INDEX(Stations!$B$2:$B$31,MATCH(E132,Stations!$A$2:$A$31,0)),0))</f>
        <v>2.5</v>
      </c>
      <c r="G132" s="16" t="n">
        <v>10</v>
      </c>
      <c r="H132" s="16" t="n">
        <v>0</v>
      </c>
      <c r="I132" s="16" t="n">
        <v>8</v>
      </c>
      <c r="J132" s="16" t="n">
        <v>300</v>
      </c>
      <c r="K132" s="14" t="s">
        <v>126</v>
      </c>
      <c r="L132" s="14" t="s">
        <v>147</v>
      </c>
      <c r="M132" s="14" t="s">
        <v>220</v>
      </c>
      <c r="N132" s="16" t="n">
        <v>4</v>
      </c>
      <c r="O132" s="16" t="s">
        <v>226</v>
      </c>
      <c r="P132" s="12" t="n">
        <f aca="false">INDEX(Scale!$B$16:$B$26,MATCH(K132,Scale!$A$16:$A$26,0))</f>
        <v>5.5</v>
      </c>
      <c r="Q132" s="15" t="n">
        <f aca="false">I132/3+J132/350</f>
        <v>3.52380952380952</v>
      </c>
      <c r="R132" s="15" t="n">
        <f aca="false">I132/4.2+J132/500</f>
        <v>2.5047619047619</v>
      </c>
      <c r="S132" s="15" t="n">
        <f aca="false">2*F132+2*G132/60+2*H132/60+Q132+1</f>
        <v>9.85714285714286</v>
      </c>
      <c r="T132" s="15" t="n">
        <f aca="false">I132+J132/100</f>
        <v>11</v>
      </c>
      <c r="U132" s="12" t="n">
        <f aca="false">INDEX(Scale!$B$3:$B$12,MATCH(T132,Scale!$A$3:$A$12,1))</f>
        <v>3</v>
      </c>
      <c r="V132" s="12" t="n">
        <f aca="false">INDEX(Scale!$B$30:$B$38,MATCH(L132,Scale!$A$30:$A$38,0))</f>
        <v>0</v>
      </c>
      <c r="W132" s="17" t="n">
        <f aca="false">MAX(U132,V132)</f>
        <v>3</v>
      </c>
      <c r="X132" s="12" t="n">
        <f aca="false">IF(W132&lt;=3,1,IF(W132&lt;=5,2,IF(W132&lt;=7,3,IF(W132&lt;=8,4,5))))</f>
        <v>1</v>
      </c>
      <c r="Y132" s="13" t="str">
        <f aca="false">IF(S132&lt;=13,"1 day",IF(S132&lt;=15,"1 long day","2 days"))</f>
        <v>1 day</v>
      </c>
      <c r="Z132" s="12" t="n">
        <f aca="false">ROUND(P132*130*Q132,-1)</f>
        <v>2520</v>
      </c>
      <c r="AA132" s="12" t="n">
        <f aca="false">ROUND(P132*120*Q132,-1)</f>
        <v>2330</v>
      </c>
      <c r="AB132" s="12" t="n">
        <f aca="false">ROUND(P132*110*Q132,-1)</f>
        <v>2130</v>
      </c>
      <c r="AC132" s="12" t="n">
        <f aca="false">ROUND(P132*100*Q132,-1)</f>
        <v>1940</v>
      </c>
      <c r="AD132" s="10" t="s">
        <v>496</v>
      </c>
      <c r="AE132" s="16"/>
      <c r="AF132" s="16"/>
      <c r="AG132" s="16"/>
    </row>
    <row r="133" customFormat="false" ht="15" hidden="false" customHeight="false" outlineLevel="0" collapsed="false">
      <c r="A133" s="12" t="n">
        <v>132</v>
      </c>
      <c r="B133" s="13" t="s">
        <v>492</v>
      </c>
      <c r="C133" s="10" t="s">
        <v>497</v>
      </c>
      <c r="D133" s="14" t="s">
        <v>95</v>
      </c>
      <c r="E133" s="14" t="s">
        <v>95</v>
      </c>
      <c r="F133" s="15" t="n">
        <f aca="false">MAX(IFERROR(INDEX(Stations!$B$2:$B$31,MATCH(D133,Stations!$A$2:$A$31,0)),0),IFERROR(INDEX(Stations!$B$2:$B$31,MATCH(E133,Stations!$A$2:$A$31,0)),0))</f>
        <v>2.5</v>
      </c>
      <c r="G133" s="16" t="n">
        <v>10</v>
      </c>
      <c r="H133" s="16" t="n">
        <v>0</v>
      </c>
      <c r="I133" s="16" t="n">
        <v>12</v>
      </c>
      <c r="J133" s="16" t="n">
        <v>400</v>
      </c>
      <c r="K133" s="14" t="s">
        <v>126</v>
      </c>
      <c r="L133" s="14" t="s">
        <v>147</v>
      </c>
      <c r="M133" s="14" t="s">
        <v>220</v>
      </c>
      <c r="N133" s="16" t="n">
        <v>5</v>
      </c>
      <c r="O133" s="16" t="s">
        <v>252</v>
      </c>
      <c r="P133" s="12" t="n">
        <f aca="false">INDEX(Scale!$B$16:$B$26,MATCH(K133,Scale!$A$16:$A$26,0))</f>
        <v>5.5</v>
      </c>
      <c r="Q133" s="15" t="n">
        <f aca="false">I133/3+J133/350</f>
        <v>5.14285714285714</v>
      </c>
      <c r="R133" s="15" t="n">
        <f aca="false">I133/4.2+J133/500</f>
        <v>3.65714285714286</v>
      </c>
      <c r="S133" s="15" t="n">
        <f aca="false">2*F133+2*G133/60+2*H133/60+Q133+1</f>
        <v>11.4761904761905</v>
      </c>
      <c r="T133" s="15" t="n">
        <f aca="false">I133+J133/100</f>
        <v>16</v>
      </c>
      <c r="U133" s="12" t="n">
        <f aca="false">INDEX(Scale!$B$3:$B$12,MATCH(T133,Scale!$A$3:$A$12,1))</f>
        <v>5</v>
      </c>
      <c r="V133" s="12" t="n">
        <f aca="false">INDEX(Scale!$B$30:$B$38,MATCH(L133,Scale!$A$30:$A$38,0))</f>
        <v>0</v>
      </c>
      <c r="W133" s="17" t="n">
        <f aca="false">MAX(U133,V133)</f>
        <v>5</v>
      </c>
      <c r="X133" s="12" t="n">
        <f aca="false">IF(W133&lt;=3,1,IF(W133&lt;=5,2,IF(W133&lt;=7,3,IF(W133&lt;=8,4,5))))</f>
        <v>2</v>
      </c>
      <c r="Y133" s="13" t="str">
        <f aca="false">IF(S133&lt;=13,"1 day",IF(S133&lt;=15,"1 long day","2 days"))</f>
        <v>1 day</v>
      </c>
      <c r="Z133" s="12" t="n">
        <f aca="false">ROUND(P133*130*Q133,-1)</f>
        <v>3680</v>
      </c>
      <c r="AA133" s="12" t="n">
        <f aca="false">ROUND(P133*120*Q133,-1)</f>
        <v>3390</v>
      </c>
      <c r="AB133" s="12" t="n">
        <f aca="false">ROUND(P133*110*Q133,-1)</f>
        <v>3110</v>
      </c>
      <c r="AC133" s="12" t="n">
        <f aca="false">ROUND(P133*100*Q133,-1)</f>
        <v>2830</v>
      </c>
      <c r="AD133" s="10" t="s">
        <v>498</v>
      </c>
      <c r="AE133" s="16"/>
      <c r="AF133" s="16"/>
      <c r="AG133" s="16"/>
    </row>
    <row r="134" customFormat="false" ht="15" hidden="false" customHeight="false" outlineLevel="0" collapsed="false">
      <c r="A134" s="12" t="n">
        <v>133</v>
      </c>
      <c r="B134" s="13" t="s">
        <v>499</v>
      </c>
      <c r="C134" s="10" t="s">
        <v>500</v>
      </c>
      <c r="D134" s="14" t="s">
        <v>59</v>
      </c>
      <c r="E134" s="14" t="s">
        <v>59</v>
      </c>
      <c r="F134" s="15" t="n">
        <f aca="false">MAX(IFERROR(INDEX(Stations!$B$2:$B$31,MATCH(D134,Stations!$A$2:$A$31,0)),0),IFERROR(INDEX(Stations!$B$2:$B$31,MATCH(E134,Stations!$A$2:$A$31,0)),0))</f>
        <v>1.2</v>
      </c>
      <c r="G134" s="16" t="n">
        <v>10</v>
      </c>
      <c r="H134" s="16" t="n">
        <v>0</v>
      </c>
      <c r="I134" s="16" t="n">
        <v>14</v>
      </c>
      <c r="J134" s="16" t="n">
        <v>200</v>
      </c>
      <c r="K134" s="14" t="s">
        <v>124</v>
      </c>
      <c r="L134" s="14" t="s">
        <v>147</v>
      </c>
      <c r="M134" s="14" t="s">
        <v>220</v>
      </c>
      <c r="N134" s="16" t="n">
        <v>4</v>
      </c>
      <c r="O134" s="16" t="s">
        <v>226</v>
      </c>
      <c r="P134" s="12" t="n">
        <f aca="false">INDEX(Scale!$B$16:$B$26,MATCH(K134,Scale!$A$16:$A$26,0))</f>
        <v>4.5</v>
      </c>
      <c r="Q134" s="15" t="n">
        <f aca="false">I134/3+J134/350</f>
        <v>5.23809523809524</v>
      </c>
      <c r="R134" s="15" t="n">
        <f aca="false">I134/4.2+J134/500</f>
        <v>3.73333333333333</v>
      </c>
      <c r="S134" s="15" t="n">
        <f aca="false">2*F134+2*G134/60+2*H134/60+Q134+1</f>
        <v>8.97142857142857</v>
      </c>
      <c r="T134" s="15" t="n">
        <f aca="false">I134+J134/100</f>
        <v>16</v>
      </c>
      <c r="U134" s="12" t="n">
        <f aca="false">INDEX(Scale!$B$3:$B$12,MATCH(T134,Scale!$A$3:$A$12,1))</f>
        <v>5</v>
      </c>
      <c r="V134" s="12" t="n">
        <f aca="false">INDEX(Scale!$B$30:$B$38,MATCH(L134,Scale!$A$30:$A$38,0))</f>
        <v>0</v>
      </c>
      <c r="W134" s="17" t="n">
        <f aca="false">MAX(U134,V134)</f>
        <v>5</v>
      </c>
      <c r="X134" s="12" t="n">
        <f aca="false">IF(W134&lt;=3,1,IF(W134&lt;=5,2,IF(W134&lt;=7,3,IF(W134&lt;=8,4,5))))</f>
        <v>2</v>
      </c>
      <c r="Y134" s="13" t="str">
        <f aca="false">IF(S134&lt;=13,"1 day",IF(S134&lt;=15,"1 long day","2 days"))</f>
        <v>1 day</v>
      </c>
      <c r="Z134" s="12" t="n">
        <f aca="false">ROUND(P134*130*Q134,-1)</f>
        <v>3060</v>
      </c>
      <c r="AA134" s="12" t="n">
        <f aca="false">ROUND(P134*120*Q134,-1)</f>
        <v>2830</v>
      </c>
      <c r="AB134" s="12" t="n">
        <f aca="false">ROUND(P134*110*Q134,-1)</f>
        <v>2590</v>
      </c>
      <c r="AC134" s="12" t="n">
        <f aca="false">ROUND(P134*100*Q134,-1)</f>
        <v>2360</v>
      </c>
      <c r="AD134" s="10" t="s">
        <v>501</v>
      </c>
      <c r="AE134" s="16"/>
      <c r="AF134" s="16"/>
      <c r="AG134" s="16"/>
    </row>
    <row r="135" customFormat="false" ht="15" hidden="false" customHeight="false" outlineLevel="0" collapsed="false">
      <c r="A135" s="12" t="n">
        <v>134</v>
      </c>
      <c r="B135" s="13" t="s">
        <v>499</v>
      </c>
      <c r="C135" s="10" t="s">
        <v>502</v>
      </c>
      <c r="D135" s="14" t="s">
        <v>59</v>
      </c>
      <c r="E135" s="14" t="s">
        <v>59</v>
      </c>
      <c r="F135" s="15" t="n">
        <f aca="false">MAX(IFERROR(INDEX(Stations!$B$2:$B$31,MATCH(D135,Stations!$A$2:$A$31,0)),0),IFERROR(INDEX(Stations!$B$2:$B$31,MATCH(E135,Stations!$A$2:$A$31,0)),0))</f>
        <v>1.2</v>
      </c>
      <c r="G135" s="16" t="n">
        <v>10</v>
      </c>
      <c r="H135" s="16" t="n">
        <v>0</v>
      </c>
      <c r="I135" s="16" t="n">
        <v>10</v>
      </c>
      <c r="J135" s="16" t="n">
        <v>350</v>
      </c>
      <c r="K135" s="14" t="s">
        <v>126</v>
      </c>
      <c r="L135" s="14" t="s">
        <v>147</v>
      </c>
      <c r="M135" s="14" t="s">
        <v>220</v>
      </c>
      <c r="N135" s="16" t="n">
        <v>5</v>
      </c>
      <c r="O135" s="16" t="s">
        <v>252</v>
      </c>
      <c r="P135" s="12" t="n">
        <f aca="false">INDEX(Scale!$B$16:$B$26,MATCH(K135,Scale!$A$16:$A$26,0))</f>
        <v>5.5</v>
      </c>
      <c r="Q135" s="15" t="n">
        <f aca="false">I135/3+J135/350</f>
        <v>4.33333333333333</v>
      </c>
      <c r="R135" s="15" t="n">
        <f aca="false">I135/4.2+J135/500</f>
        <v>3.08095238095238</v>
      </c>
      <c r="S135" s="15" t="n">
        <f aca="false">2*F135+2*G135/60+2*H135/60+Q135+1</f>
        <v>8.06666666666667</v>
      </c>
      <c r="T135" s="15" t="n">
        <f aca="false">I135+J135/100</f>
        <v>13.5</v>
      </c>
      <c r="U135" s="12" t="n">
        <f aca="false">INDEX(Scale!$B$3:$B$12,MATCH(T135,Scale!$A$3:$A$12,1))</f>
        <v>4</v>
      </c>
      <c r="V135" s="12" t="n">
        <f aca="false">INDEX(Scale!$B$30:$B$38,MATCH(L135,Scale!$A$30:$A$38,0))</f>
        <v>0</v>
      </c>
      <c r="W135" s="17" t="n">
        <f aca="false">MAX(U135,V135)</f>
        <v>4</v>
      </c>
      <c r="X135" s="12" t="n">
        <f aca="false">IF(W135&lt;=3,1,IF(W135&lt;=5,2,IF(W135&lt;=7,3,IF(W135&lt;=8,4,5))))</f>
        <v>2</v>
      </c>
      <c r="Y135" s="13" t="str">
        <f aca="false">IF(S135&lt;=13,"1 day",IF(S135&lt;=15,"1 long day","2 days"))</f>
        <v>1 day</v>
      </c>
      <c r="Z135" s="12" t="n">
        <f aca="false">ROUND(P135*130*Q135,-1)</f>
        <v>3100</v>
      </c>
      <c r="AA135" s="12" t="n">
        <f aca="false">ROUND(P135*120*Q135,-1)</f>
        <v>2860</v>
      </c>
      <c r="AB135" s="12" t="n">
        <f aca="false">ROUND(P135*110*Q135,-1)</f>
        <v>2620</v>
      </c>
      <c r="AC135" s="12" t="n">
        <f aca="false">ROUND(P135*100*Q135,-1)</f>
        <v>2380</v>
      </c>
      <c r="AD135" s="10" t="s">
        <v>503</v>
      </c>
      <c r="AE135" s="16"/>
      <c r="AF135" s="16"/>
      <c r="AG135" s="16"/>
    </row>
    <row r="136" customFormat="false" ht="15" hidden="false" customHeight="false" outlineLevel="0" collapsed="false">
      <c r="A136" s="12" t="n">
        <v>135</v>
      </c>
      <c r="B136" s="13" t="s">
        <v>499</v>
      </c>
      <c r="C136" s="10" t="s">
        <v>504</v>
      </c>
      <c r="D136" s="14" t="s">
        <v>505</v>
      </c>
      <c r="E136" s="14" t="s">
        <v>505</v>
      </c>
      <c r="F136" s="15" t="n">
        <f aca="false">MAX(IFERROR(INDEX(Stations!$B$2:$B$31,MATCH(D136,Stations!$A$2:$A$31,0)),0),IFERROR(INDEX(Stations!$B$2:$B$31,MATCH(E136,Stations!$A$2:$A$31,0)),0))</f>
        <v>0</v>
      </c>
      <c r="G136" s="16" t="n">
        <v>10</v>
      </c>
      <c r="H136" s="16" t="n">
        <v>0</v>
      </c>
      <c r="I136" s="16" t="n">
        <v>10</v>
      </c>
      <c r="J136" s="16" t="n">
        <v>350</v>
      </c>
      <c r="K136" s="14" t="s">
        <v>126</v>
      </c>
      <c r="L136" s="14" t="s">
        <v>147</v>
      </c>
      <c r="M136" s="14" t="s">
        <v>220</v>
      </c>
      <c r="N136" s="16" t="n">
        <v>5</v>
      </c>
      <c r="O136" s="16" t="s">
        <v>252</v>
      </c>
      <c r="P136" s="12" t="n">
        <f aca="false">INDEX(Scale!$B$16:$B$26,MATCH(K136,Scale!$A$16:$A$26,0))</f>
        <v>5.5</v>
      </c>
      <c r="Q136" s="15" t="n">
        <f aca="false">I136/3+J136/350</f>
        <v>4.33333333333333</v>
      </c>
      <c r="R136" s="15" t="n">
        <f aca="false">I136/4.2+J136/500</f>
        <v>3.08095238095238</v>
      </c>
      <c r="S136" s="15" t="n">
        <f aca="false">2*F136+2*G136/60+2*H136/60+Q136+1</f>
        <v>5.66666666666667</v>
      </c>
      <c r="T136" s="15" t="n">
        <f aca="false">I136+J136/100</f>
        <v>13.5</v>
      </c>
      <c r="U136" s="12" t="n">
        <f aca="false">INDEX(Scale!$B$3:$B$12,MATCH(T136,Scale!$A$3:$A$12,1))</f>
        <v>4</v>
      </c>
      <c r="V136" s="12" t="n">
        <f aca="false">INDEX(Scale!$B$30:$B$38,MATCH(L136,Scale!$A$30:$A$38,0))</f>
        <v>0</v>
      </c>
      <c r="W136" s="17" t="n">
        <f aca="false">MAX(U136,V136)</f>
        <v>4</v>
      </c>
      <c r="X136" s="12" t="n">
        <f aca="false">IF(W136&lt;=3,1,IF(W136&lt;=5,2,IF(W136&lt;=7,3,IF(W136&lt;=8,4,5))))</f>
        <v>2</v>
      </c>
      <c r="Y136" s="13" t="str">
        <f aca="false">IF(S136&lt;=13,"1 day",IF(S136&lt;=15,"1 long day","2 days"))</f>
        <v>1 day</v>
      </c>
      <c r="Z136" s="12" t="n">
        <f aca="false">ROUND(P136*130*Q136,-1)</f>
        <v>3100</v>
      </c>
      <c r="AA136" s="12" t="n">
        <f aca="false">ROUND(P136*120*Q136,-1)</f>
        <v>2860</v>
      </c>
      <c r="AB136" s="12" t="n">
        <f aca="false">ROUND(P136*110*Q136,-1)</f>
        <v>2620</v>
      </c>
      <c r="AC136" s="12" t="n">
        <f aca="false">ROUND(P136*100*Q136,-1)</f>
        <v>2380</v>
      </c>
      <c r="AD136" s="10" t="s">
        <v>506</v>
      </c>
      <c r="AE136" s="16"/>
      <c r="AF136" s="16"/>
      <c r="AG136" s="16"/>
    </row>
    <row r="137" customFormat="false" ht="15" hidden="false" customHeight="false" outlineLevel="0" collapsed="false">
      <c r="A137" s="12" t="n">
        <v>136</v>
      </c>
      <c r="B137" s="13" t="s">
        <v>499</v>
      </c>
      <c r="C137" s="10" t="s">
        <v>507</v>
      </c>
      <c r="D137" s="14" t="s">
        <v>61</v>
      </c>
      <c r="E137" s="14" t="s">
        <v>61</v>
      </c>
      <c r="F137" s="15" t="n">
        <f aca="false">MAX(IFERROR(INDEX(Stations!$B$2:$B$31,MATCH(D137,Stations!$A$2:$A$31,0)),0),IFERROR(INDEX(Stations!$B$2:$B$31,MATCH(E137,Stations!$A$2:$A$31,0)),0))</f>
        <v>1.5</v>
      </c>
      <c r="G137" s="16" t="n">
        <v>15</v>
      </c>
      <c r="H137" s="16" t="n">
        <v>0</v>
      </c>
      <c r="I137" s="16" t="n">
        <v>12</v>
      </c>
      <c r="J137" s="16" t="n">
        <v>500</v>
      </c>
      <c r="K137" s="14" t="s">
        <v>126</v>
      </c>
      <c r="L137" s="14" t="s">
        <v>147</v>
      </c>
      <c r="M137" s="14" t="s">
        <v>220</v>
      </c>
      <c r="N137" s="16" t="n">
        <v>5</v>
      </c>
      <c r="O137" s="16" t="s">
        <v>252</v>
      </c>
      <c r="P137" s="12" t="n">
        <f aca="false">INDEX(Scale!$B$16:$B$26,MATCH(K137,Scale!$A$16:$A$26,0))</f>
        <v>5.5</v>
      </c>
      <c r="Q137" s="15" t="n">
        <f aca="false">I137/3+J137/350</f>
        <v>5.42857142857143</v>
      </c>
      <c r="R137" s="15" t="n">
        <f aca="false">I137/4.2+J137/500</f>
        <v>3.85714285714286</v>
      </c>
      <c r="S137" s="15" t="n">
        <f aca="false">2*F137+2*G137/60+2*H137/60+Q137+1</f>
        <v>9.92857142857143</v>
      </c>
      <c r="T137" s="15" t="n">
        <f aca="false">I137+J137/100</f>
        <v>17</v>
      </c>
      <c r="U137" s="12" t="n">
        <f aca="false">INDEX(Scale!$B$3:$B$12,MATCH(T137,Scale!$A$3:$A$12,1))</f>
        <v>5</v>
      </c>
      <c r="V137" s="12" t="n">
        <f aca="false">INDEX(Scale!$B$30:$B$38,MATCH(L137,Scale!$A$30:$A$38,0))</f>
        <v>0</v>
      </c>
      <c r="W137" s="17" t="n">
        <f aca="false">MAX(U137,V137)</f>
        <v>5</v>
      </c>
      <c r="X137" s="12" t="n">
        <f aca="false">IF(W137&lt;=3,1,IF(W137&lt;=5,2,IF(W137&lt;=7,3,IF(W137&lt;=8,4,5))))</f>
        <v>2</v>
      </c>
      <c r="Y137" s="13" t="str">
        <f aca="false">IF(S137&lt;=13,"1 day",IF(S137&lt;=15,"1 long day","2 days"))</f>
        <v>1 day</v>
      </c>
      <c r="Z137" s="12" t="n">
        <f aca="false">ROUND(P137*130*Q137,-1)</f>
        <v>3880</v>
      </c>
      <c r="AA137" s="12" t="n">
        <f aca="false">ROUND(P137*120*Q137,-1)</f>
        <v>3580</v>
      </c>
      <c r="AB137" s="12" t="n">
        <f aca="false">ROUND(P137*110*Q137,-1)</f>
        <v>3280</v>
      </c>
      <c r="AC137" s="12" t="n">
        <f aca="false">ROUND(P137*100*Q137,-1)</f>
        <v>2990</v>
      </c>
      <c r="AD137" s="10" t="s">
        <v>508</v>
      </c>
      <c r="AE137" s="16"/>
      <c r="AF137" s="16"/>
      <c r="AG137" s="16"/>
    </row>
    <row r="138" customFormat="false" ht="15" hidden="false" customHeight="false" outlineLevel="0" collapsed="false">
      <c r="A138" s="12" t="n">
        <v>137</v>
      </c>
      <c r="B138" s="13" t="s">
        <v>499</v>
      </c>
      <c r="C138" s="10" t="s">
        <v>509</v>
      </c>
      <c r="D138" s="14" t="s">
        <v>63</v>
      </c>
      <c r="E138" s="14" t="s">
        <v>63</v>
      </c>
      <c r="F138" s="15" t="n">
        <f aca="false">MAX(IFERROR(INDEX(Stations!$B$2:$B$31,MATCH(D138,Stations!$A$2:$A$31,0)),0),IFERROR(INDEX(Stations!$B$2:$B$31,MATCH(E138,Stations!$A$2:$A$31,0)),0))</f>
        <v>1.6</v>
      </c>
      <c r="G138" s="16" t="n">
        <v>5</v>
      </c>
      <c r="H138" s="16" t="n">
        <v>0</v>
      </c>
      <c r="I138" s="16" t="n">
        <v>8</v>
      </c>
      <c r="J138" s="16" t="n">
        <v>200</v>
      </c>
      <c r="K138" s="14" t="s">
        <v>124</v>
      </c>
      <c r="L138" s="14" t="s">
        <v>147</v>
      </c>
      <c r="M138" s="14" t="s">
        <v>220</v>
      </c>
      <c r="N138" s="16" t="n">
        <v>5</v>
      </c>
      <c r="O138" s="16" t="s">
        <v>252</v>
      </c>
      <c r="P138" s="12" t="n">
        <f aca="false">INDEX(Scale!$B$16:$B$26,MATCH(K138,Scale!$A$16:$A$26,0))</f>
        <v>4.5</v>
      </c>
      <c r="Q138" s="15" t="n">
        <f aca="false">I138/3+J138/350</f>
        <v>3.23809523809524</v>
      </c>
      <c r="R138" s="15" t="n">
        <f aca="false">I138/4.2+J138/500</f>
        <v>2.3047619047619</v>
      </c>
      <c r="S138" s="15" t="n">
        <f aca="false">2*F138+2*G138/60+2*H138/60+Q138+1</f>
        <v>7.6047619047619</v>
      </c>
      <c r="T138" s="15" t="n">
        <f aca="false">I138+J138/100</f>
        <v>10</v>
      </c>
      <c r="U138" s="12" t="n">
        <f aca="false">INDEX(Scale!$B$3:$B$12,MATCH(T138,Scale!$A$3:$A$12,1))</f>
        <v>3</v>
      </c>
      <c r="V138" s="12" t="n">
        <f aca="false">INDEX(Scale!$B$30:$B$38,MATCH(L138,Scale!$A$30:$A$38,0))</f>
        <v>0</v>
      </c>
      <c r="W138" s="17" t="n">
        <f aca="false">MAX(U138,V138)</f>
        <v>3</v>
      </c>
      <c r="X138" s="12" t="n">
        <f aca="false">IF(W138&lt;=3,1,IF(W138&lt;=5,2,IF(W138&lt;=7,3,IF(W138&lt;=8,4,5))))</f>
        <v>1</v>
      </c>
      <c r="Y138" s="13" t="str">
        <f aca="false">IF(S138&lt;=13,"1 day",IF(S138&lt;=15,"1 long day","2 days"))</f>
        <v>1 day</v>
      </c>
      <c r="Z138" s="12" t="n">
        <f aca="false">ROUND(P138*130*Q138,-1)</f>
        <v>1890</v>
      </c>
      <c r="AA138" s="12" t="n">
        <f aca="false">ROUND(P138*120*Q138,-1)</f>
        <v>1750</v>
      </c>
      <c r="AB138" s="12" t="n">
        <f aca="false">ROUND(P138*110*Q138,-1)</f>
        <v>1600</v>
      </c>
      <c r="AC138" s="12" t="n">
        <f aca="false">ROUND(P138*100*Q138,-1)</f>
        <v>1460</v>
      </c>
      <c r="AD138" s="10" t="s">
        <v>510</v>
      </c>
      <c r="AE138" s="16"/>
      <c r="AF138" s="16"/>
      <c r="AG138" s="16"/>
    </row>
    <row r="139" customFormat="false" ht="15" hidden="false" customHeight="false" outlineLevel="0" collapsed="false">
      <c r="A139" s="12" t="n">
        <v>138</v>
      </c>
      <c r="B139" s="13" t="s">
        <v>511</v>
      </c>
      <c r="C139" s="10" t="s">
        <v>512</v>
      </c>
      <c r="D139" s="14" t="s">
        <v>100</v>
      </c>
      <c r="E139" s="14" t="s">
        <v>100</v>
      </c>
      <c r="F139" s="15" t="n">
        <f aca="false">MAX(IFERROR(INDEX(Stations!$B$2:$B$31,MATCH(D139,Stations!$A$2:$A$31,0)),0),IFERROR(INDEX(Stations!$B$2:$B$31,MATCH(E139,Stations!$A$2:$A$31,0)),0))</f>
        <v>2.9</v>
      </c>
      <c r="G139" s="16" t="n">
        <v>5</v>
      </c>
      <c r="H139" s="16" t="n">
        <v>0</v>
      </c>
      <c r="I139" s="16" t="n">
        <v>12</v>
      </c>
      <c r="J139" s="16" t="n">
        <v>200</v>
      </c>
      <c r="K139" s="14" t="s">
        <v>124</v>
      </c>
      <c r="L139" s="14" t="s">
        <v>147</v>
      </c>
      <c r="M139" s="14" t="s">
        <v>220</v>
      </c>
      <c r="N139" s="16" t="n">
        <v>5</v>
      </c>
      <c r="O139" s="16" t="s">
        <v>252</v>
      </c>
      <c r="P139" s="12" t="n">
        <f aca="false">INDEX(Scale!$B$16:$B$26,MATCH(K139,Scale!$A$16:$A$26,0))</f>
        <v>4.5</v>
      </c>
      <c r="Q139" s="15" t="n">
        <f aca="false">I139/3+J139/350</f>
        <v>4.57142857142857</v>
      </c>
      <c r="R139" s="15" t="n">
        <f aca="false">I139/4.2+J139/500</f>
        <v>3.25714285714286</v>
      </c>
      <c r="S139" s="15" t="n">
        <f aca="false">2*F139+2*G139/60+2*H139/60+Q139+1</f>
        <v>11.5380952380952</v>
      </c>
      <c r="T139" s="15" t="n">
        <f aca="false">I139+J139/100</f>
        <v>14</v>
      </c>
      <c r="U139" s="12" t="n">
        <f aca="false">INDEX(Scale!$B$3:$B$12,MATCH(T139,Scale!$A$3:$A$12,1))</f>
        <v>4</v>
      </c>
      <c r="V139" s="12" t="n">
        <f aca="false">INDEX(Scale!$B$30:$B$38,MATCH(L139,Scale!$A$30:$A$38,0))</f>
        <v>0</v>
      </c>
      <c r="W139" s="17" t="n">
        <f aca="false">MAX(U139,V139)</f>
        <v>4</v>
      </c>
      <c r="X139" s="12" t="n">
        <f aca="false">IF(W139&lt;=3,1,IF(W139&lt;=5,2,IF(W139&lt;=7,3,IF(W139&lt;=8,4,5))))</f>
        <v>2</v>
      </c>
      <c r="Y139" s="13" t="str">
        <f aca="false">IF(S139&lt;=13,"1 day",IF(S139&lt;=15,"1 long day","2 days"))</f>
        <v>1 day</v>
      </c>
      <c r="Z139" s="12" t="n">
        <f aca="false">ROUND(P139*130*Q139,-1)</f>
        <v>2670</v>
      </c>
      <c r="AA139" s="12" t="n">
        <f aca="false">ROUND(P139*120*Q139,-1)</f>
        <v>2470</v>
      </c>
      <c r="AB139" s="12" t="n">
        <f aca="false">ROUND(P139*110*Q139,-1)</f>
        <v>2260</v>
      </c>
      <c r="AC139" s="12" t="n">
        <f aca="false">ROUND(P139*100*Q139,-1)</f>
        <v>2060</v>
      </c>
      <c r="AD139" s="10" t="s">
        <v>513</v>
      </c>
      <c r="AE139" s="16"/>
      <c r="AF139" s="16"/>
      <c r="AG139" s="16"/>
    </row>
    <row r="140" customFormat="false" ht="15" hidden="false" customHeight="false" outlineLevel="0" collapsed="false">
      <c r="A140" s="12" t="n">
        <v>139</v>
      </c>
      <c r="B140" s="13" t="s">
        <v>514</v>
      </c>
      <c r="C140" s="10" t="s">
        <v>515</v>
      </c>
      <c r="D140" s="14" t="s">
        <v>100</v>
      </c>
      <c r="E140" s="14" t="s">
        <v>100</v>
      </c>
      <c r="F140" s="15" t="n">
        <f aca="false">MAX(IFERROR(INDEX(Stations!$B$2:$B$31,MATCH(D140,Stations!$A$2:$A$31,0)),0),IFERROR(INDEX(Stations!$B$2:$B$31,MATCH(E140,Stations!$A$2:$A$31,0)),0))</f>
        <v>2.9</v>
      </c>
      <c r="G140" s="16" t="n">
        <v>30</v>
      </c>
      <c r="H140" s="16" t="n">
        <v>0</v>
      </c>
      <c r="I140" s="16" t="n">
        <v>12</v>
      </c>
      <c r="J140" s="16" t="n">
        <v>400</v>
      </c>
      <c r="K140" s="14" t="s">
        <v>128</v>
      </c>
      <c r="L140" s="14" t="s">
        <v>147</v>
      </c>
      <c r="M140" s="14" t="s">
        <v>234</v>
      </c>
      <c r="N140" s="16" t="n">
        <v>5</v>
      </c>
      <c r="O140" s="16" t="s">
        <v>252</v>
      </c>
      <c r="P140" s="12" t="n">
        <f aca="false">INDEX(Scale!$B$16:$B$26,MATCH(K140,Scale!$A$16:$A$26,0))</f>
        <v>6.3</v>
      </c>
      <c r="Q140" s="15" t="n">
        <f aca="false">I140/3+J140/350</f>
        <v>5.14285714285714</v>
      </c>
      <c r="R140" s="15" t="n">
        <f aca="false">I140/4.2+J140/500</f>
        <v>3.65714285714286</v>
      </c>
      <c r="S140" s="15" t="n">
        <f aca="false">2*F140+2*G140/60+2*H140/60+Q140+1</f>
        <v>12.9428571428571</v>
      </c>
      <c r="T140" s="15" t="n">
        <f aca="false">I140+J140/100</f>
        <v>16</v>
      </c>
      <c r="U140" s="12" t="n">
        <f aca="false">INDEX(Scale!$B$3:$B$12,MATCH(T140,Scale!$A$3:$A$12,1))</f>
        <v>5</v>
      </c>
      <c r="V140" s="12" t="n">
        <f aca="false">INDEX(Scale!$B$30:$B$38,MATCH(L140,Scale!$A$30:$A$38,0))</f>
        <v>0</v>
      </c>
      <c r="W140" s="17" t="n">
        <f aca="false">MAX(U140,V140)</f>
        <v>5</v>
      </c>
      <c r="X140" s="12" t="n">
        <f aca="false">IF(W140&lt;=3,1,IF(W140&lt;=5,2,IF(W140&lt;=7,3,IF(W140&lt;=8,4,5))))</f>
        <v>2</v>
      </c>
      <c r="Y140" s="13" t="str">
        <f aca="false">IF(S140&lt;=13,"1 day",IF(S140&lt;=15,"1 long day","2 days"))</f>
        <v>1 day</v>
      </c>
      <c r="Z140" s="12" t="n">
        <f aca="false">ROUND(P140*130*Q140,-1)</f>
        <v>4210</v>
      </c>
      <c r="AA140" s="12" t="n">
        <f aca="false">ROUND(P140*120*Q140,-1)</f>
        <v>3890</v>
      </c>
      <c r="AB140" s="12" t="n">
        <f aca="false">ROUND(P140*110*Q140,-1)</f>
        <v>3560</v>
      </c>
      <c r="AC140" s="12" t="n">
        <f aca="false">ROUND(P140*100*Q140,-1)</f>
        <v>3240</v>
      </c>
      <c r="AD140" s="10" t="s">
        <v>516</v>
      </c>
      <c r="AE140" s="16"/>
      <c r="AF140" s="16"/>
      <c r="AG140" s="16"/>
    </row>
    <row r="141" customFormat="false" ht="15" hidden="false" customHeight="false" outlineLevel="0" collapsed="false">
      <c r="A141" s="12" t="n">
        <v>140</v>
      </c>
      <c r="B141" s="13" t="s">
        <v>514</v>
      </c>
      <c r="C141" s="10" t="s">
        <v>517</v>
      </c>
      <c r="D141" s="14" t="s">
        <v>100</v>
      </c>
      <c r="E141" s="14" t="s">
        <v>100</v>
      </c>
      <c r="F141" s="15" t="n">
        <f aca="false">MAX(IFERROR(INDEX(Stations!$B$2:$B$31,MATCH(D141,Stations!$A$2:$A$31,0)),0),IFERROR(INDEX(Stations!$B$2:$B$31,MATCH(E141,Stations!$A$2:$A$31,0)),0))</f>
        <v>2.9</v>
      </c>
      <c r="G141" s="16" t="n">
        <v>30</v>
      </c>
      <c r="H141" s="16" t="n">
        <v>40</v>
      </c>
      <c r="I141" s="16" t="n">
        <v>22</v>
      </c>
      <c r="J141" s="16" t="n">
        <v>1400</v>
      </c>
      <c r="K141" s="14" t="s">
        <v>128</v>
      </c>
      <c r="L141" s="14" t="s">
        <v>149</v>
      </c>
      <c r="M141" s="14" t="s">
        <v>239</v>
      </c>
      <c r="N141" s="16" t="n">
        <v>5</v>
      </c>
      <c r="O141" s="16" t="s">
        <v>252</v>
      </c>
      <c r="P141" s="12" t="n">
        <f aca="false">INDEX(Scale!$B$16:$B$26,MATCH(K141,Scale!$A$16:$A$26,0))</f>
        <v>6.3</v>
      </c>
      <c r="Q141" s="15" t="n">
        <f aca="false">I141/3+J141/350</f>
        <v>11.3333333333333</v>
      </c>
      <c r="R141" s="15" t="n">
        <f aca="false">I141/4.2+J141/500</f>
        <v>8.03809523809524</v>
      </c>
      <c r="S141" s="15" t="n">
        <f aca="false">2*F141+2*G141/60+2*H141/60+Q141+1</f>
        <v>20.4666666666667</v>
      </c>
      <c r="T141" s="15" t="n">
        <f aca="false">I141+J141/100</f>
        <v>36</v>
      </c>
      <c r="U141" s="12" t="n">
        <f aca="false">INDEX(Scale!$B$3:$B$12,MATCH(T141,Scale!$A$3:$A$12,1))</f>
        <v>8</v>
      </c>
      <c r="V141" s="12" t="n">
        <f aca="false">INDEX(Scale!$B$30:$B$38,MATCH(L141,Scale!$A$30:$A$38,0))</f>
        <v>3</v>
      </c>
      <c r="W141" s="17" t="n">
        <f aca="false">MAX(U141,V141)</f>
        <v>8</v>
      </c>
      <c r="X141" s="12" t="n">
        <f aca="false">IF(W141&lt;=3,1,IF(W141&lt;=5,2,IF(W141&lt;=7,3,IF(W141&lt;=8,4,5))))</f>
        <v>4</v>
      </c>
      <c r="Y141" s="13" t="str">
        <f aca="false">IF(S141&lt;=13,"1 day",IF(S141&lt;=15,"1 long day","2 days"))</f>
        <v>2 days</v>
      </c>
      <c r="Z141" s="12" t="n">
        <f aca="false">ROUND(P141*130*Q141,-1)</f>
        <v>9280</v>
      </c>
      <c r="AA141" s="12" t="n">
        <f aca="false">ROUND(P141*120*Q141,-1)</f>
        <v>8570</v>
      </c>
      <c r="AB141" s="12" t="n">
        <f aca="false">ROUND(P141*110*Q141,-1)</f>
        <v>7850</v>
      </c>
      <c r="AC141" s="12" t="n">
        <f aca="false">ROUND(P141*100*Q141,-1)</f>
        <v>7140</v>
      </c>
      <c r="AD141" s="10" t="s">
        <v>518</v>
      </c>
      <c r="AE141" s="16"/>
      <c r="AF141" s="16"/>
      <c r="AG141" s="16"/>
    </row>
    <row r="142" customFormat="false" ht="15" hidden="false" customHeight="false" outlineLevel="0" collapsed="false">
      <c r="A142" s="12" t="n">
        <v>141</v>
      </c>
      <c r="B142" s="13" t="s">
        <v>511</v>
      </c>
      <c r="C142" s="10" t="s">
        <v>519</v>
      </c>
      <c r="D142" s="14" t="s">
        <v>100</v>
      </c>
      <c r="E142" s="14" t="s">
        <v>100</v>
      </c>
      <c r="F142" s="15" t="n">
        <f aca="false">MAX(IFERROR(INDEX(Stations!$B$2:$B$31,MATCH(D142,Stations!$A$2:$A$31,0)),0),IFERROR(INDEX(Stations!$B$2:$B$31,MATCH(E142,Stations!$A$2:$A$31,0)),0))</f>
        <v>2.9</v>
      </c>
      <c r="G142" s="16" t="n">
        <v>10</v>
      </c>
      <c r="H142" s="16" t="n">
        <v>50</v>
      </c>
      <c r="I142" s="16" t="n">
        <v>16</v>
      </c>
      <c r="J142" s="16" t="n">
        <v>700</v>
      </c>
      <c r="K142" s="14" t="s">
        <v>128</v>
      </c>
      <c r="L142" s="14" t="s">
        <v>147</v>
      </c>
      <c r="M142" s="14" t="s">
        <v>239</v>
      </c>
      <c r="N142" s="16" t="n">
        <v>3</v>
      </c>
      <c r="O142" s="16" t="s">
        <v>226</v>
      </c>
      <c r="P142" s="12" t="n">
        <f aca="false">INDEX(Scale!$B$16:$B$26,MATCH(K142,Scale!$A$16:$A$26,0))</f>
        <v>6.3</v>
      </c>
      <c r="Q142" s="15" t="n">
        <f aca="false">I142/3+J142/350</f>
        <v>7.33333333333333</v>
      </c>
      <c r="R142" s="15" t="n">
        <f aca="false">I142/4.2+J142/500</f>
        <v>5.20952380952381</v>
      </c>
      <c r="S142" s="15" t="n">
        <f aca="false">2*F142+2*G142/60+2*H142/60+Q142+1</f>
        <v>16.1333333333333</v>
      </c>
      <c r="T142" s="15" t="n">
        <f aca="false">I142+J142/100</f>
        <v>23</v>
      </c>
      <c r="U142" s="12" t="n">
        <f aca="false">INDEX(Scale!$B$3:$B$12,MATCH(T142,Scale!$A$3:$A$12,1))</f>
        <v>6</v>
      </c>
      <c r="V142" s="12" t="n">
        <f aca="false">INDEX(Scale!$B$30:$B$38,MATCH(L142,Scale!$A$30:$A$38,0))</f>
        <v>0</v>
      </c>
      <c r="W142" s="17" t="n">
        <f aca="false">MAX(U142,V142)</f>
        <v>6</v>
      </c>
      <c r="X142" s="12" t="n">
        <f aca="false">IF(W142&lt;=3,1,IF(W142&lt;=5,2,IF(W142&lt;=7,3,IF(W142&lt;=8,4,5))))</f>
        <v>3</v>
      </c>
      <c r="Y142" s="13" t="str">
        <f aca="false">IF(S142&lt;=13,"1 day",IF(S142&lt;=15,"1 long day","2 days"))</f>
        <v>2 days</v>
      </c>
      <c r="Z142" s="12" t="n">
        <f aca="false">ROUND(P142*130*Q142,-1)</f>
        <v>6010</v>
      </c>
      <c r="AA142" s="12" t="n">
        <f aca="false">ROUND(P142*120*Q142,-1)</f>
        <v>5540</v>
      </c>
      <c r="AB142" s="12" t="n">
        <f aca="false">ROUND(P142*110*Q142,-1)</f>
        <v>5080</v>
      </c>
      <c r="AC142" s="12" t="n">
        <f aca="false">ROUND(P142*100*Q142,-1)</f>
        <v>4620</v>
      </c>
      <c r="AD142" s="10" t="s">
        <v>520</v>
      </c>
      <c r="AE142" s="16"/>
      <c r="AF142" s="16"/>
      <c r="AG142" s="16"/>
    </row>
    <row r="143" customFormat="false" ht="15" hidden="false" customHeight="false" outlineLevel="0" collapsed="false">
      <c r="A143" s="12" t="n">
        <v>142</v>
      </c>
      <c r="B143" s="13" t="s">
        <v>511</v>
      </c>
      <c r="C143" s="10" t="s">
        <v>521</v>
      </c>
      <c r="D143" s="14" t="s">
        <v>100</v>
      </c>
      <c r="E143" s="14" t="s">
        <v>100</v>
      </c>
      <c r="F143" s="15" t="n">
        <f aca="false">MAX(IFERROR(INDEX(Stations!$B$2:$B$31,MATCH(D143,Stations!$A$2:$A$31,0)),0),IFERROR(INDEX(Stations!$B$2:$B$31,MATCH(E143,Stations!$A$2:$A$31,0)),0))</f>
        <v>2.9</v>
      </c>
      <c r="G143" s="16" t="n">
        <v>10</v>
      </c>
      <c r="H143" s="16" t="n">
        <v>50</v>
      </c>
      <c r="I143" s="16" t="n">
        <v>12</v>
      </c>
      <c r="J143" s="16" t="n">
        <v>350</v>
      </c>
      <c r="K143" s="14" t="s">
        <v>128</v>
      </c>
      <c r="L143" s="14" t="s">
        <v>147</v>
      </c>
      <c r="M143" s="14" t="s">
        <v>234</v>
      </c>
      <c r="N143" s="16" t="n">
        <v>4</v>
      </c>
      <c r="O143" s="16" t="s">
        <v>226</v>
      </c>
      <c r="P143" s="12" t="n">
        <f aca="false">INDEX(Scale!$B$16:$B$26,MATCH(K143,Scale!$A$16:$A$26,0))</f>
        <v>6.3</v>
      </c>
      <c r="Q143" s="15" t="n">
        <f aca="false">I143/3+J143/350</f>
        <v>5</v>
      </c>
      <c r="R143" s="15" t="n">
        <f aca="false">I143/4.2+J143/500</f>
        <v>3.55714285714286</v>
      </c>
      <c r="S143" s="15" t="n">
        <f aca="false">2*F143+2*G143/60+2*H143/60+Q143+1</f>
        <v>13.8</v>
      </c>
      <c r="T143" s="15" t="n">
        <f aca="false">I143+J143/100</f>
        <v>15.5</v>
      </c>
      <c r="U143" s="12" t="n">
        <f aca="false">INDEX(Scale!$B$3:$B$12,MATCH(T143,Scale!$A$3:$A$12,1))</f>
        <v>4</v>
      </c>
      <c r="V143" s="12" t="n">
        <f aca="false">INDEX(Scale!$B$30:$B$38,MATCH(L143,Scale!$A$30:$A$38,0))</f>
        <v>0</v>
      </c>
      <c r="W143" s="17" t="n">
        <f aca="false">MAX(U143,V143)</f>
        <v>4</v>
      </c>
      <c r="X143" s="12" t="n">
        <f aca="false">IF(W143&lt;=3,1,IF(W143&lt;=5,2,IF(W143&lt;=7,3,IF(W143&lt;=8,4,5))))</f>
        <v>2</v>
      </c>
      <c r="Y143" s="13" t="str">
        <f aca="false">IF(S143&lt;=13,"1 day",IF(S143&lt;=15,"1 long day","2 days"))</f>
        <v>1 long day</v>
      </c>
      <c r="Z143" s="12" t="n">
        <f aca="false">ROUND(P143*130*Q143,-1)</f>
        <v>4100</v>
      </c>
      <c r="AA143" s="12" t="n">
        <f aca="false">ROUND(P143*120*Q143,-1)</f>
        <v>3780</v>
      </c>
      <c r="AB143" s="12" t="n">
        <f aca="false">ROUND(P143*110*Q143,-1)</f>
        <v>3470</v>
      </c>
      <c r="AC143" s="12" t="n">
        <f aca="false">ROUND(P143*100*Q143,-1)</f>
        <v>3150</v>
      </c>
      <c r="AD143" s="10" t="s">
        <v>522</v>
      </c>
      <c r="AE143" s="16"/>
      <c r="AF143" s="16"/>
      <c r="AG143" s="16"/>
    </row>
    <row r="144" customFormat="false" ht="15" hidden="false" customHeight="false" outlineLevel="0" collapsed="false">
      <c r="A144" s="12" t="n">
        <v>143</v>
      </c>
      <c r="B144" s="13" t="s">
        <v>218</v>
      </c>
      <c r="C144" s="10" t="s">
        <v>523</v>
      </c>
      <c r="D144" s="14" t="s">
        <v>66</v>
      </c>
      <c r="E144" s="14" t="s">
        <v>66</v>
      </c>
      <c r="F144" s="15" t="n">
        <f aca="false">MAX(IFERROR(INDEX(Stations!$B$2:$B$31,MATCH(D144,Stations!$A$2:$A$31,0)),0),IFERROR(INDEX(Stations!$B$2:$B$31,MATCH(E144,Stations!$A$2:$A$31,0)),0))</f>
        <v>1.8</v>
      </c>
      <c r="G144" s="16" t="n">
        <v>0</v>
      </c>
      <c r="H144" s="16" t="n">
        <v>0</v>
      </c>
      <c r="I144" s="16" t="n">
        <v>6</v>
      </c>
      <c r="J144" s="16" t="n">
        <v>350</v>
      </c>
      <c r="K144" s="14" t="s">
        <v>130</v>
      </c>
      <c r="L144" s="14" t="s">
        <v>147</v>
      </c>
      <c r="M144" s="14" t="s">
        <v>239</v>
      </c>
      <c r="N144" s="16" t="n">
        <v>1</v>
      </c>
      <c r="O144" s="16" t="s">
        <v>221</v>
      </c>
      <c r="P144" s="12" t="n">
        <f aca="false">INDEX(Scale!$B$16:$B$26,MATCH(K144,Scale!$A$16:$A$26,0))</f>
        <v>7</v>
      </c>
      <c r="Q144" s="15" t="n">
        <f aca="false">I144/3+J144/350</f>
        <v>3</v>
      </c>
      <c r="R144" s="15" t="n">
        <f aca="false">I144/4.2+J144/500</f>
        <v>2.12857142857143</v>
      </c>
      <c r="S144" s="15" t="n">
        <f aca="false">2*F144+2*G144/60+2*H144/60+Q144+1</f>
        <v>7.6</v>
      </c>
      <c r="T144" s="15" t="n">
        <f aca="false">I144+J144/100</f>
        <v>9.5</v>
      </c>
      <c r="U144" s="12" t="n">
        <f aca="false">INDEX(Scale!$B$3:$B$12,MATCH(T144,Scale!$A$3:$A$12,1))</f>
        <v>3</v>
      </c>
      <c r="V144" s="12" t="n">
        <f aca="false">INDEX(Scale!$B$30:$B$38,MATCH(L144,Scale!$A$30:$A$38,0))</f>
        <v>0</v>
      </c>
      <c r="W144" s="17" t="n">
        <f aca="false">MAX(U144,V144)</f>
        <v>3</v>
      </c>
      <c r="X144" s="12" t="n">
        <f aca="false">IF(W144&lt;=3,1,IF(W144&lt;=5,2,IF(W144&lt;=7,3,IF(W144&lt;=8,4,5))))</f>
        <v>1</v>
      </c>
      <c r="Y144" s="13" t="str">
        <f aca="false">IF(S144&lt;=13,"1 day",IF(S144&lt;=15,"1 long day","2 days"))</f>
        <v>1 day</v>
      </c>
      <c r="Z144" s="12" t="n">
        <f aca="false">ROUND(P144*130*Q144,-1)</f>
        <v>2730</v>
      </c>
      <c r="AA144" s="12" t="n">
        <f aca="false">ROUND(P144*120*Q144,-1)</f>
        <v>2520</v>
      </c>
      <c r="AB144" s="12" t="n">
        <f aca="false">ROUND(P144*110*Q144,-1)</f>
        <v>2310</v>
      </c>
      <c r="AC144" s="12" t="n">
        <f aca="false">ROUND(P144*100*Q144,-1)</f>
        <v>2100</v>
      </c>
      <c r="AD144" s="10" t="s">
        <v>524</v>
      </c>
      <c r="AE144" s="16"/>
      <c r="AF144" s="16"/>
      <c r="AG144" s="16"/>
    </row>
    <row r="145" customFormat="false" ht="15" hidden="false" customHeight="false" outlineLevel="0" collapsed="false">
      <c r="A145" s="12" t="n">
        <v>144</v>
      </c>
      <c r="B145" s="13" t="s">
        <v>218</v>
      </c>
      <c r="C145" s="10" t="s">
        <v>525</v>
      </c>
      <c r="D145" s="14" t="s">
        <v>66</v>
      </c>
      <c r="E145" s="14" t="s">
        <v>66</v>
      </c>
      <c r="F145" s="15" t="n">
        <f aca="false">MAX(IFERROR(INDEX(Stations!$B$2:$B$31,MATCH(D145,Stations!$A$2:$A$31,0)),0),IFERROR(INDEX(Stations!$B$2:$B$31,MATCH(E145,Stations!$A$2:$A$31,0)),0))</f>
        <v>1.8</v>
      </c>
      <c r="G145" s="16" t="n">
        <v>0</v>
      </c>
      <c r="H145" s="16" t="n">
        <v>0</v>
      </c>
      <c r="I145" s="16" t="n">
        <v>8</v>
      </c>
      <c r="J145" s="16" t="n">
        <v>150</v>
      </c>
      <c r="K145" s="14" t="s">
        <v>128</v>
      </c>
      <c r="L145" s="14" t="s">
        <v>147</v>
      </c>
      <c r="M145" s="14" t="s">
        <v>239</v>
      </c>
      <c r="N145" s="16" t="n">
        <v>2</v>
      </c>
      <c r="O145" s="16" t="s">
        <v>221</v>
      </c>
      <c r="P145" s="12" t="n">
        <f aca="false">INDEX(Scale!$B$16:$B$26,MATCH(K145,Scale!$A$16:$A$26,0))</f>
        <v>6.3</v>
      </c>
      <c r="Q145" s="15" t="n">
        <f aca="false">I145/3+J145/350</f>
        <v>3.0952380952381</v>
      </c>
      <c r="R145" s="15" t="n">
        <f aca="false">I145/4.2+J145/500</f>
        <v>2.2047619047619</v>
      </c>
      <c r="S145" s="15" t="n">
        <f aca="false">2*F145+2*G145/60+2*H145/60+Q145+1</f>
        <v>7.69523809523809</v>
      </c>
      <c r="T145" s="15" t="n">
        <f aca="false">I145+J145/100</f>
        <v>9.5</v>
      </c>
      <c r="U145" s="12" t="n">
        <f aca="false">INDEX(Scale!$B$3:$B$12,MATCH(T145,Scale!$A$3:$A$12,1))</f>
        <v>3</v>
      </c>
      <c r="V145" s="12" t="n">
        <f aca="false">INDEX(Scale!$B$30:$B$38,MATCH(L145,Scale!$A$30:$A$38,0))</f>
        <v>0</v>
      </c>
      <c r="W145" s="17" t="n">
        <f aca="false">MAX(U145,V145)</f>
        <v>3</v>
      </c>
      <c r="X145" s="12" t="n">
        <f aca="false">IF(W145&lt;=3,1,IF(W145&lt;=5,2,IF(W145&lt;=7,3,IF(W145&lt;=8,4,5))))</f>
        <v>1</v>
      </c>
      <c r="Y145" s="13" t="str">
        <f aca="false">IF(S145&lt;=13,"1 day",IF(S145&lt;=15,"1 long day","2 days"))</f>
        <v>1 day</v>
      </c>
      <c r="Z145" s="12" t="n">
        <f aca="false">ROUND(P145*130*Q145,-1)</f>
        <v>2540</v>
      </c>
      <c r="AA145" s="12" t="n">
        <f aca="false">ROUND(P145*120*Q145,-1)</f>
        <v>2340</v>
      </c>
      <c r="AB145" s="12" t="n">
        <f aca="false">ROUND(P145*110*Q145,-1)</f>
        <v>2150</v>
      </c>
      <c r="AC145" s="12" t="n">
        <f aca="false">ROUND(P145*100*Q145,-1)</f>
        <v>1950</v>
      </c>
      <c r="AD145" s="10" t="s">
        <v>526</v>
      </c>
      <c r="AE145" s="16"/>
      <c r="AF145" s="16"/>
      <c r="AG145" s="16"/>
    </row>
    <row r="146" customFormat="false" ht="15" hidden="false" customHeight="false" outlineLevel="0" collapsed="false">
      <c r="A146" s="12" t="n">
        <v>145</v>
      </c>
      <c r="B146" s="13" t="s">
        <v>218</v>
      </c>
      <c r="C146" s="10" t="s">
        <v>527</v>
      </c>
      <c r="D146" s="14" t="s">
        <v>66</v>
      </c>
      <c r="E146" s="14" t="s">
        <v>66</v>
      </c>
      <c r="F146" s="15" t="n">
        <f aca="false">MAX(IFERROR(INDEX(Stations!$B$2:$B$31,MATCH(D146,Stations!$A$2:$A$31,0)),0),IFERROR(INDEX(Stations!$B$2:$B$31,MATCH(E146,Stations!$A$2:$A$31,0)),0))</f>
        <v>1.8</v>
      </c>
      <c r="G146" s="16" t="n">
        <v>0</v>
      </c>
      <c r="H146" s="16" t="n">
        <v>0</v>
      </c>
      <c r="I146" s="16" t="n">
        <v>9</v>
      </c>
      <c r="J146" s="16" t="n">
        <v>400</v>
      </c>
      <c r="K146" s="14" t="s">
        <v>130</v>
      </c>
      <c r="L146" s="14" t="s">
        <v>153</v>
      </c>
      <c r="M146" s="14" t="s">
        <v>239</v>
      </c>
      <c r="N146" s="16" t="n">
        <v>4</v>
      </c>
      <c r="O146" s="16" t="s">
        <v>226</v>
      </c>
      <c r="P146" s="12" t="n">
        <f aca="false">INDEX(Scale!$B$16:$B$26,MATCH(K146,Scale!$A$16:$A$26,0))</f>
        <v>7</v>
      </c>
      <c r="Q146" s="15" t="n">
        <f aca="false">I146/3+J146/350</f>
        <v>4.14285714285714</v>
      </c>
      <c r="R146" s="15" t="n">
        <f aca="false">I146/4.2+J146/500</f>
        <v>2.94285714285714</v>
      </c>
      <c r="S146" s="15" t="n">
        <f aca="false">2*F146+2*G146/60+2*H146/60+Q146+1</f>
        <v>8.74285714285714</v>
      </c>
      <c r="T146" s="15" t="n">
        <f aca="false">I146+J146/100</f>
        <v>13</v>
      </c>
      <c r="U146" s="12" t="n">
        <f aca="false">INDEX(Scale!$B$3:$B$12,MATCH(T146,Scale!$A$3:$A$12,1))</f>
        <v>4</v>
      </c>
      <c r="V146" s="12" t="n">
        <f aca="false">INDEX(Scale!$B$30:$B$38,MATCH(L146,Scale!$A$30:$A$38,0))</f>
        <v>6</v>
      </c>
      <c r="W146" s="17" t="n">
        <f aca="false">MAX(U146,V146)</f>
        <v>6</v>
      </c>
      <c r="X146" s="12" t="n">
        <f aca="false">IF(W146&lt;=3,1,IF(W146&lt;=5,2,IF(W146&lt;=7,3,IF(W146&lt;=8,4,5))))</f>
        <v>3</v>
      </c>
      <c r="Y146" s="13" t="str">
        <f aca="false">IF(S146&lt;=13,"1 day",IF(S146&lt;=15,"1 long day","2 days"))</f>
        <v>1 day</v>
      </c>
      <c r="Z146" s="12" t="n">
        <f aca="false">ROUND(P146*130*Q146,-1)</f>
        <v>3770</v>
      </c>
      <c r="AA146" s="12" t="n">
        <f aca="false">ROUND(P146*120*Q146,-1)</f>
        <v>3480</v>
      </c>
      <c r="AB146" s="12" t="n">
        <f aca="false">ROUND(P146*110*Q146,-1)</f>
        <v>3190</v>
      </c>
      <c r="AC146" s="12" t="n">
        <f aca="false">ROUND(P146*100*Q146,-1)</f>
        <v>2900</v>
      </c>
      <c r="AD146" s="10" t="s">
        <v>528</v>
      </c>
      <c r="AE146" s="16"/>
      <c r="AF146" s="16"/>
      <c r="AG146" s="16"/>
    </row>
    <row r="147" customFormat="false" ht="15" hidden="false" customHeight="false" outlineLevel="0" collapsed="false">
      <c r="A147" s="12" t="n">
        <v>146</v>
      </c>
      <c r="B147" s="13" t="s">
        <v>218</v>
      </c>
      <c r="C147" s="10" t="s">
        <v>529</v>
      </c>
      <c r="D147" s="14" t="s">
        <v>66</v>
      </c>
      <c r="E147" s="14" t="s">
        <v>65</v>
      </c>
      <c r="F147" s="15" t="n">
        <f aca="false">MAX(IFERROR(INDEX(Stations!$B$2:$B$31,MATCH(D147,Stations!$A$2:$A$31,0)),0),IFERROR(INDEX(Stations!$B$2:$B$31,MATCH(E147,Stations!$A$2:$A$31,0)),0))</f>
        <v>1.8</v>
      </c>
      <c r="G147" s="16" t="n">
        <v>0</v>
      </c>
      <c r="H147" s="16" t="n">
        <v>0</v>
      </c>
      <c r="I147" s="16" t="n">
        <v>14</v>
      </c>
      <c r="J147" s="16" t="n">
        <v>600</v>
      </c>
      <c r="K147" s="14" t="s">
        <v>128</v>
      </c>
      <c r="L147" s="14" t="s">
        <v>147</v>
      </c>
      <c r="M147" s="14" t="s">
        <v>239</v>
      </c>
      <c r="N147" s="16" t="n">
        <v>3</v>
      </c>
      <c r="O147" s="16" t="s">
        <v>226</v>
      </c>
      <c r="P147" s="12" t="n">
        <f aca="false">INDEX(Scale!$B$16:$B$26,MATCH(K147,Scale!$A$16:$A$26,0))</f>
        <v>6.3</v>
      </c>
      <c r="Q147" s="15" t="n">
        <f aca="false">I147/3+J147/350</f>
        <v>6.38095238095238</v>
      </c>
      <c r="R147" s="15" t="n">
        <f aca="false">I147/4.2+J147/500</f>
        <v>4.53333333333333</v>
      </c>
      <c r="S147" s="15" t="n">
        <f aca="false">2*F147+2*G147/60+2*H147/60+Q147+1</f>
        <v>10.9809523809524</v>
      </c>
      <c r="T147" s="15" t="n">
        <f aca="false">I147+J147/100</f>
        <v>20</v>
      </c>
      <c r="U147" s="12" t="n">
        <f aca="false">INDEX(Scale!$B$3:$B$12,MATCH(T147,Scale!$A$3:$A$12,1))</f>
        <v>5</v>
      </c>
      <c r="V147" s="12" t="n">
        <f aca="false">INDEX(Scale!$B$30:$B$38,MATCH(L147,Scale!$A$30:$A$38,0))</f>
        <v>0</v>
      </c>
      <c r="W147" s="17" t="n">
        <f aca="false">MAX(U147,V147)</f>
        <v>5</v>
      </c>
      <c r="X147" s="12" t="n">
        <f aca="false">IF(W147&lt;=3,1,IF(W147&lt;=5,2,IF(W147&lt;=7,3,IF(W147&lt;=8,4,5))))</f>
        <v>2</v>
      </c>
      <c r="Y147" s="13" t="str">
        <f aca="false">IF(S147&lt;=13,"1 day",IF(S147&lt;=15,"1 long day","2 days"))</f>
        <v>1 day</v>
      </c>
      <c r="Z147" s="12" t="n">
        <f aca="false">ROUND(P147*130*Q147,-1)</f>
        <v>5230</v>
      </c>
      <c r="AA147" s="12" t="n">
        <f aca="false">ROUND(P147*120*Q147,-1)</f>
        <v>4820</v>
      </c>
      <c r="AB147" s="12" t="n">
        <f aca="false">ROUND(P147*110*Q147,-1)</f>
        <v>4420</v>
      </c>
      <c r="AC147" s="12" t="n">
        <f aca="false">ROUND(P147*100*Q147,-1)</f>
        <v>4020</v>
      </c>
      <c r="AD147" s="10" t="s">
        <v>530</v>
      </c>
      <c r="AE147" s="16"/>
      <c r="AF147" s="16"/>
      <c r="AG147" s="16"/>
    </row>
    <row r="148" customFormat="false" ht="15" hidden="false" customHeight="false" outlineLevel="0" collapsed="false">
      <c r="A148" s="12" t="n">
        <v>147</v>
      </c>
      <c r="B148" s="13" t="s">
        <v>218</v>
      </c>
      <c r="C148" s="10" t="s">
        <v>531</v>
      </c>
      <c r="D148" s="14" t="s">
        <v>66</v>
      </c>
      <c r="E148" s="14" t="s">
        <v>81</v>
      </c>
      <c r="F148" s="15" t="n">
        <f aca="false">MAX(IFERROR(INDEX(Stations!$B$2:$B$31,MATCH(D148,Stations!$A$2:$A$31,0)),0),IFERROR(INDEX(Stations!$B$2:$B$31,MATCH(E148,Stations!$A$2:$A$31,0)),0))</f>
        <v>3.1</v>
      </c>
      <c r="G148" s="16" t="n">
        <v>0</v>
      </c>
      <c r="H148" s="16" t="n">
        <v>0</v>
      </c>
      <c r="I148" s="16" t="n">
        <v>7</v>
      </c>
      <c r="J148" s="16" t="n">
        <v>100</v>
      </c>
      <c r="K148" s="14" t="s">
        <v>130</v>
      </c>
      <c r="L148" s="14" t="s">
        <v>136</v>
      </c>
      <c r="M148" s="14" t="s">
        <v>286</v>
      </c>
      <c r="N148" s="16" t="n">
        <v>3</v>
      </c>
      <c r="O148" s="16" t="s">
        <v>226</v>
      </c>
      <c r="P148" s="12" t="n">
        <f aca="false">INDEX(Scale!$B$16:$B$26,MATCH(K148,Scale!$A$16:$A$26,0))</f>
        <v>7</v>
      </c>
      <c r="Q148" s="15" t="n">
        <f aca="false">I148/3+J148/350</f>
        <v>2.61904761904762</v>
      </c>
      <c r="R148" s="15" t="n">
        <f aca="false">I148/4.2+J148/500</f>
        <v>1.86666666666667</v>
      </c>
      <c r="S148" s="15" t="n">
        <f aca="false">2*F148+2*G148/60+2*H148/60+Q148+1</f>
        <v>9.81904761904762</v>
      </c>
      <c r="T148" s="15" t="n">
        <f aca="false">I148+J148/100</f>
        <v>8</v>
      </c>
      <c r="U148" s="12" t="n">
        <f aca="false">INDEX(Scale!$B$3:$B$12,MATCH(T148,Scale!$A$3:$A$12,1))</f>
        <v>2</v>
      </c>
      <c r="V148" s="12" t="n">
        <f aca="false">INDEX(Scale!$B$30:$B$38,MATCH(L148,Scale!$A$30:$A$38,0))</f>
        <v>5</v>
      </c>
      <c r="W148" s="17" t="n">
        <f aca="false">MAX(U148,V148)</f>
        <v>5</v>
      </c>
      <c r="X148" s="12" t="n">
        <f aca="false">IF(W148&lt;=3,1,IF(W148&lt;=5,2,IF(W148&lt;=7,3,IF(W148&lt;=8,4,5))))</f>
        <v>2</v>
      </c>
      <c r="Y148" s="13" t="str">
        <f aca="false">IF(S148&lt;=13,"1 day",IF(S148&lt;=15,"1 long day","2 days"))</f>
        <v>1 day</v>
      </c>
      <c r="Z148" s="12" t="n">
        <f aca="false">ROUND(P148*130*Q148,-1)</f>
        <v>2380</v>
      </c>
      <c r="AA148" s="12" t="n">
        <f aca="false">ROUND(P148*120*Q148,-1)</f>
        <v>2200</v>
      </c>
      <c r="AB148" s="12" t="n">
        <f aca="false">ROUND(P148*110*Q148,-1)</f>
        <v>2020</v>
      </c>
      <c r="AC148" s="12" t="n">
        <f aca="false">ROUND(P148*100*Q148,-1)</f>
        <v>1830</v>
      </c>
      <c r="AD148" s="10" t="s">
        <v>532</v>
      </c>
      <c r="AE148" s="16"/>
      <c r="AF148" s="16"/>
      <c r="AG148" s="16"/>
    </row>
    <row r="149" customFormat="false" ht="15" hidden="false" customHeight="false" outlineLevel="0" collapsed="false">
      <c r="A149" s="12" t="n">
        <v>148</v>
      </c>
      <c r="B149" s="13" t="s">
        <v>218</v>
      </c>
      <c r="C149" s="10" t="s">
        <v>533</v>
      </c>
      <c r="D149" s="14" t="s">
        <v>66</v>
      </c>
      <c r="E149" s="14" t="s">
        <v>81</v>
      </c>
      <c r="F149" s="15" t="n">
        <f aca="false">MAX(IFERROR(INDEX(Stations!$B$2:$B$31,MATCH(D149,Stations!$A$2:$A$31,0)),0),IFERROR(INDEX(Stations!$B$2:$B$31,MATCH(E149,Stations!$A$2:$A$31,0)),0))</f>
        <v>3.1</v>
      </c>
      <c r="G149" s="16" t="n">
        <v>0</v>
      </c>
      <c r="H149" s="16" t="n">
        <v>0</v>
      </c>
      <c r="I149" s="16" t="n">
        <v>9</v>
      </c>
      <c r="J149" s="16" t="n">
        <v>400</v>
      </c>
      <c r="K149" s="14" t="s">
        <v>138</v>
      </c>
      <c r="L149" s="14" t="s">
        <v>138</v>
      </c>
      <c r="M149" s="14" t="s">
        <v>286</v>
      </c>
      <c r="N149" s="16" t="n">
        <v>4</v>
      </c>
      <c r="O149" s="16" t="s">
        <v>226</v>
      </c>
      <c r="P149" s="12" t="n">
        <f aca="false">INDEX(Scale!$B$16:$B$26,MATCH(K149,Scale!$A$16:$A$26,0))</f>
        <v>7.5</v>
      </c>
      <c r="Q149" s="15" t="n">
        <f aca="false">I149/3+J149/350</f>
        <v>4.14285714285714</v>
      </c>
      <c r="R149" s="15" t="n">
        <f aca="false">I149/4.2+J149/500</f>
        <v>2.94285714285714</v>
      </c>
      <c r="S149" s="15" t="n">
        <f aca="false">2*F149+2*G149/60+2*H149/60+Q149+1</f>
        <v>11.3428571428571</v>
      </c>
      <c r="T149" s="15" t="n">
        <f aca="false">I149+J149/100</f>
        <v>13</v>
      </c>
      <c r="U149" s="12" t="n">
        <f aca="false">INDEX(Scale!$B$3:$B$12,MATCH(T149,Scale!$A$3:$A$12,1))</f>
        <v>4</v>
      </c>
      <c r="V149" s="12" t="n">
        <f aca="false">INDEX(Scale!$B$30:$B$38,MATCH(L149,Scale!$A$30:$A$38,0))</f>
        <v>8</v>
      </c>
      <c r="W149" s="17" t="n">
        <f aca="false">MAX(U149,V149)</f>
        <v>8</v>
      </c>
      <c r="X149" s="12" t="n">
        <f aca="false">IF(W149&lt;=3,1,IF(W149&lt;=5,2,IF(W149&lt;=7,3,IF(W149&lt;=8,4,5))))</f>
        <v>4</v>
      </c>
      <c r="Y149" s="13" t="str">
        <f aca="false">IF(S149&lt;=13,"1 day",IF(S149&lt;=15,"1 long day","2 days"))</f>
        <v>1 day</v>
      </c>
      <c r="Z149" s="12" t="n">
        <f aca="false">ROUND(P149*130*Q149,-1)</f>
        <v>4040</v>
      </c>
      <c r="AA149" s="12" t="n">
        <f aca="false">ROUND(P149*120*Q149,-1)</f>
        <v>3730</v>
      </c>
      <c r="AB149" s="12" t="n">
        <f aca="false">ROUND(P149*110*Q149,-1)</f>
        <v>3420</v>
      </c>
      <c r="AC149" s="12" t="n">
        <f aca="false">ROUND(P149*100*Q149,-1)</f>
        <v>3110</v>
      </c>
      <c r="AD149" s="10" t="s">
        <v>534</v>
      </c>
      <c r="AE149" s="16"/>
      <c r="AF149" s="16"/>
      <c r="AG149" s="16"/>
    </row>
    <row r="150" customFormat="false" ht="15" hidden="false" customHeight="false" outlineLevel="0" collapsed="false">
      <c r="A150" s="12" t="n">
        <v>149</v>
      </c>
      <c r="B150" s="13" t="s">
        <v>218</v>
      </c>
      <c r="C150" s="10" t="s">
        <v>535</v>
      </c>
      <c r="D150" s="14" t="s">
        <v>66</v>
      </c>
      <c r="E150" s="14" t="s">
        <v>81</v>
      </c>
      <c r="F150" s="15" t="n">
        <f aca="false">MAX(IFERROR(INDEX(Stations!$B$2:$B$31,MATCH(D150,Stations!$A$2:$A$31,0)),0),IFERROR(INDEX(Stations!$B$2:$B$31,MATCH(E150,Stations!$A$2:$A$31,0)),0))</f>
        <v>3.1</v>
      </c>
      <c r="G150" s="16" t="n">
        <v>0</v>
      </c>
      <c r="H150" s="16" t="n">
        <v>0</v>
      </c>
      <c r="I150" s="16" t="n">
        <v>12</v>
      </c>
      <c r="J150" s="16" t="n">
        <v>300</v>
      </c>
      <c r="K150" s="14" t="s">
        <v>132</v>
      </c>
      <c r="L150" s="14" t="s">
        <v>138</v>
      </c>
      <c r="M150" s="14" t="s">
        <v>286</v>
      </c>
      <c r="N150" s="16" t="n">
        <v>5</v>
      </c>
      <c r="O150" s="16" t="s">
        <v>252</v>
      </c>
      <c r="P150" s="12" t="n">
        <f aca="false">INDEX(Scale!$B$16:$B$26,MATCH(K150,Scale!$A$16:$A$26,0))</f>
        <v>7.5</v>
      </c>
      <c r="Q150" s="15" t="n">
        <f aca="false">I150/3+J150/350</f>
        <v>4.85714285714286</v>
      </c>
      <c r="R150" s="15" t="n">
        <f aca="false">I150/4.2+J150/500</f>
        <v>3.45714285714286</v>
      </c>
      <c r="S150" s="15" t="n">
        <f aca="false">2*F150+2*G150/60+2*H150/60+Q150+1</f>
        <v>12.0571428571429</v>
      </c>
      <c r="T150" s="15" t="n">
        <f aca="false">I150+J150/100</f>
        <v>15</v>
      </c>
      <c r="U150" s="12" t="n">
        <f aca="false">INDEX(Scale!$B$3:$B$12,MATCH(T150,Scale!$A$3:$A$12,1))</f>
        <v>4</v>
      </c>
      <c r="V150" s="12" t="n">
        <f aca="false">INDEX(Scale!$B$30:$B$38,MATCH(L150,Scale!$A$30:$A$38,0))</f>
        <v>8</v>
      </c>
      <c r="W150" s="17" t="n">
        <f aca="false">MAX(U150,V150)</f>
        <v>8</v>
      </c>
      <c r="X150" s="12" t="n">
        <f aca="false">IF(W150&lt;=3,1,IF(W150&lt;=5,2,IF(W150&lt;=7,3,IF(W150&lt;=8,4,5))))</f>
        <v>4</v>
      </c>
      <c r="Y150" s="13" t="str">
        <f aca="false">IF(S150&lt;=13,"1 day",IF(S150&lt;=15,"1 long day","2 days"))</f>
        <v>1 day</v>
      </c>
      <c r="Z150" s="12" t="n">
        <f aca="false">ROUND(P150*130*Q150,-1)</f>
        <v>4740</v>
      </c>
      <c r="AA150" s="12" t="n">
        <f aca="false">ROUND(P150*120*Q150,-1)</f>
        <v>4370</v>
      </c>
      <c r="AB150" s="12" t="n">
        <f aca="false">ROUND(P150*110*Q150,-1)</f>
        <v>4010</v>
      </c>
      <c r="AC150" s="12" t="n">
        <f aca="false">ROUND(P150*100*Q150,-1)</f>
        <v>3640</v>
      </c>
      <c r="AD150" s="10" t="s">
        <v>536</v>
      </c>
      <c r="AE150" s="16"/>
      <c r="AF150" s="16"/>
      <c r="AG150" s="16"/>
    </row>
    <row r="151" customFormat="false" ht="15" hidden="false" customHeight="false" outlineLevel="0" collapsed="false">
      <c r="A151" s="12" t="n">
        <v>150</v>
      </c>
      <c r="B151" s="13" t="s">
        <v>218</v>
      </c>
      <c r="C151" s="10" t="s">
        <v>537</v>
      </c>
      <c r="D151" s="14" t="s">
        <v>66</v>
      </c>
      <c r="E151" s="14" t="s">
        <v>66</v>
      </c>
      <c r="F151" s="15" t="n">
        <f aca="false">MAX(IFERROR(INDEX(Stations!$B$2:$B$31,MATCH(D151,Stations!$A$2:$A$31,0)),0),IFERROR(INDEX(Stations!$B$2:$B$31,MATCH(E151,Stations!$A$2:$A$31,0)),0))</f>
        <v>1.8</v>
      </c>
      <c r="G151" s="16" t="n">
        <v>0</v>
      </c>
      <c r="H151" s="16" t="n">
        <v>0</v>
      </c>
      <c r="I151" s="16" t="n">
        <v>6</v>
      </c>
      <c r="J151" s="16" t="n">
        <v>200</v>
      </c>
      <c r="K151" s="14" t="s">
        <v>128</v>
      </c>
      <c r="L151" s="14" t="s">
        <v>147</v>
      </c>
      <c r="M151" s="14" t="s">
        <v>239</v>
      </c>
      <c r="N151" s="16" t="n">
        <v>2</v>
      </c>
      <c r="O151" s="16" t="s">
        <v>221</v>
      </c>
      <c r="P151" s="12" t="n">
        <f aca="false">INDEX(Scale!$B$16:$B$26,MATCH(K151,Scale!$A$16:$A$26,0))</f>
        <v>6.3</v>
      </c>
      <c r="Q151" s="15" t="n">
        <f aca="false">I151/3+J151/350</f>
        <v>2.57142857142857</v>
      </c>
      <c r="R151" s="15" t="n">
        <f aca="false">I151/4.2+J151/500</f>
        <v>1.82857142857143</v>
      </c>
      <c r="S151" s="15" t="n">
        <f aca="false">2*F151+2*G151/60+2*H151/60+Q151+1</f>
        <v>7.17142857142857</v>
      </c>
      <c r="T151" s="15" t="n">
        <f aca="false">I151+J151/100</f>
        <v>8</v>
      </c>
      <c r="U151" s="12" t="n">
        <f aca="false">INDEX(Scale!$B$3:$B$12,MATCH(T151,Scale!$A$3:$A$12,1))</f>
        <v>2</v>
      </c>
      <c r="V151" s="12" t="n">
        <f aca="false">INDEX(Scale!$B$30:$B$38,MATCH(L151,Scale!$A$30:$A$38,0))</f>
        <v>0</v>
      </c>
      <c r="W151" s="17" t="n">
        <f aca="false">MAX(U151,V151)</f>
        <v>2</v>
      </c>
      <c r="X151" s="12" t="n">
        <f aca="false">IF(W151&lt;=3,1,IF(W151&lt;=5,2,IF(W151&lt;=7,3,IF(W151&lt;=8,4,5))))</f>
        <v>1</v>
      </c>
      <c r="Y151" s="13" t="str">
        <f aca="false">IF(S151&lt;=13,"1 day",IF(S151&lt;=15,"1 long day","2 days"))</f>
        <v>1 day</v>
      </c>
      <c r="Z151" s="12" t="n">
        <f aca="false">ROUND(P151*130*Q151,-1)</f>
        <v>2110</v>
      </c>
      <c r="AA151" s="12" t="n">
        <f aca="false">ROUND(P151*120*Q151,-1)</f>
        <v>1940</v>
      </c>
      <c r="AB151" s="12" t="n">
        <f aca="false">ROUND(P151*110*Q151,-1)</f>
        <v>1780</v>
      </c>
      <c r="AC151" s="12" t="n">
        <f aca="false">ROUND(P151*100*Q151,-1)</f>
        <v>1620</v>
      </c>
      <c r="AD151" s="10" t="s">
        <v>538</v>
      </c>
      <c r="AE151" s="16"/>
      <c r="AF151" s="16"/>
      <c r="AG151" s="16"/>
    </row>
    <row r="152" customFormat="false" ht="15" hidden="false" customHeight="false" outlineLevel="0" collapsed="false">
      <c r="A152" s="12" t="n">
        <v>151</v>
      </c>
      <c r="B152" s="13" t="s">
        <v>218</v>
      </c>
      <c r="C152" s="10" t="s">
        <v>539</v>
      </c>
      <c r="D152" s="14" t="s">
        <v>100</v>
      </c>
      <c r="E152" s="14" t="s">
        <v>66</v>
      </c>
      <c r="F152" s="15" t="n">
        <f aca="false">MAX(IFERROR(INDEX(Stations!$B$2:$B$31,MATCH(D152,Stations!$A$2:$A$31,0)),0),IFERROR(INDEX(Stations!$B$2:$B$31,MATCH(E152,Stations!$A$2:$A$31,0)),0))</f>
        <v>2.9</v>
      </c>
      <c r="G152" s="16" t="n">
        <v>10</v>
      </c>
      <c r="H152" s="16" t="n">
        <v>50</v>
      </c>
      <c r="I152" s="16" t="n">
        <v>14</v>
      </c>
      <c r="J152" s="16" t="n">
        <v>900</v>
      </c>
      <c r="K152" s="14" t="s">
        <v>128</v>
      </c>
      <c r="L152" s="14" t="s">
        <v>147</v>
      </c>
      <c r="M152" s="14" t="s">
        <v>286</v>
      </c>
      <c r="N152" s="16" t="n">
        <v>4</v>
      </c>
      <c r="O152" s="16" t="s">
        <v>226</v>
      </c>
      <c r="P152" s="12" t="n">
        <f aca="false">INDEX(Scale!$B$16:$B$26,MATCH(K152,Scale!$A$16:$A$26,0))</f>
        <v>6.3</v>
      </c>
      <c r="Q152" s="15" t="n">
        <f aca="false">I152/3+J152/350</f>
        <v>7.23809523809524</v>
      </c>
      <c r="R152" s="15" t="n">
        <f aca="false">I152/4.2+J152/500</f>
        <v>5.13333333333333</v>
      </c>
      <c r="S152" s="15" t="n">
        <f aca="false">2*F152+2*G152/60+2*H152/60+Q152+1</f>
        <v>16.0380952380952</v>
      </c>
      <c r="T152" s="15" t="n">
        <f aca="false">I152+J152/100</f>
        <v>23</v>
      </c>
      <c r="U152" s="12" t="n">
        <f aca="false">INDEX(Scale!$B$3:$B$12,MATCH(T152,Scale!$A$3:$A$12,1))</f>
        <v>6</v>
      </c>
      <c r="V152" s="12" t="n">
        <f aca="false">INDEX(Scale!$B$30:$B$38,MATCH(L152,Scale!$A$30:$A$38,0))</f>
        <v>0</v>
      </c>
      <c r="W152" s="17" t="n">
        <f aca="false">MAX(U152,V152)</f>
        <v>6</v>
      </c>
      <c r="X152" s="12" t="n">
        <f aca="false">IF(W152&lt;=3,1,IF(W152&lt;=5,2,IF(W152&lt;=7,3,IF(W152&lt;=8,4,5))))</f>
        <v>3</v>
      </c>
      <c r="Y152" s="13" t="str">
        <f aca="false">IF(S152&lt;=13,"1 day",IF(S152&lt;=15,"1 long day","2 days"))</f>
        <v>2 days</v>
      </c>
      <c r="Z152" s="12" t="n">
        <f aca="false">ROUND(P152*130*Q152,-1)</f>
        <v>5930</v>
      </c>
      <c r="AA152" s="12" t="n">
        <f aca="false">ROUND(P152*120*Q152,-1)</f>
        <v>5470</v>
      </c>
      <c r="AB152" s="12" t="n">
        <f aca="false">ROUND(P152*110*Q152,-1)</f>
        <v>5020</v>
      </c>
      <c r="AC152" s="12" t="n">
        <f aca="false">ROUND(P152*100*Q152,-1)</f>
        <v>4560</v>
      </c>
      <c r="AD152" s="10" t="s">
        <v>540</v>
      </c>
      <c r="AE152" s="16"/>
      <c r="AF152" s="16"/>
      <c r="AG152" s="16"/>
    </row>
    <row r="153" customFormat="false" ht="15" hidden="false" customHeight="false" outlineLevel="0" collapsed="false">
      <c r="A153" s="12" t="n">
        <v>152</v>
      </c>
      <c r="B153" s="13" t="s">
        <v>218</v>
      </c>
      <c r="C153" s="10" t="s">
        <v>541</v>
      </c>
      <c r="D153" s="14" t="s">
        <v>100</v>
      </c>
      <c r="E153" s="14" t="s">
        <v>100</v>
      </c>
      <c r="F153" s="15" t="n">
        <f aca="false">MAX(IFERROR(INDEX(Stations!$B$2:$B$31,MATCH(D153,Stations!$A$2:$A$31,0)),0),IFERROR(INDEX(Stations!$B$2:$B$31,MATCH(E153,Stations!$A$2:$A$31,0)),0))</f>
        <v>2.9</v>
      </c>
      <c r="G153" s="16" t="n">
        <v>10</v>
      </c>
      <c r="H153" s="16" t="n">
        <v>50</v>
      </c>
      <c r="I153" s="16" t="n">
        <v>10</v>
      </c>
      <c r="J153" s="16" t="n">
        <v>500</v>
      </c>
      <c r="K153" s="14" t="s">
        <v>130</v>
      </c>
      <c r="L153" s="14" t="s">
        <v>153</v>
      </c>
      <c r="M153" s="14" t="s">
        <v>239</v>
      </c>
      <c r="N153" s="16" t="n">
        <v>5</v>
      </c>
      <c r="O153" s="16" t="s">
        <v>252</v>
      </c>
      <c r="P153" s="12" t="n">
        <f aca="false">INDEX(Scale!$B$16:$B$26,MATCH(K153,Scale!$A$16:$A$26,0))</f>
        <v>7</v>
      </c>
      <c r="Q153" s="15" t="n">
        <f aca="false">I153/3+J153/350</f>
        <v>4.76190476190476</v>
      </c>
      <c r="R153" s="15" t="n">
        <f aca="false">I153/4.2+J153/500</f>
        <v>3.38095238095238</v>
      </c>
      <c r="S153" s="15" t="n">
        <f aca="false">2*F153+2*G153/60+2*H153/60+Q153+1</f>
        <v>13.5619047619048</v>
      </c>
      <c r="T153" s="15" t="n">
        <f aca="false">I153+J153/100</f>
        <v>15</v>
      </c>
      <c r="U153" s="12" t="n">
        <f aca="false">INDEX(Scale!$B$3:$B$12,MATCH(T153,Scale!$A$3:$A$12,1))</f>
        <v>4</v>
      </c>
      <c r="V153" s="12" t="n">
        <f aca="false">INDEX(Scale!$B$30:$B$38,MATCH(L153,Scale!$A$30:$A$38,0))</f>
        <v>6</v>
      </c>
      <c r="W153" s="17" t="n">
        <f aca="false">MAX(U153,V153)</f>
        <v>6</v>
      </c>
      <c r="X153" s="12" t="n">
        <f aca="false">IF(W153&lt;=3,1,IF(W153&lt;=5,2,IF(W153&lt;=7,3,IF(W153&lt;=8,4,5))))</f>
        <v>3</v>
      </c>
      <c r="Y153" s="13" t="str">
        <f aca="false">IF(S153&lt;=13,"1 day",IF(S153&lt;=15,"1 long day","2 days"))</f>
        <v>1 long day</v>
      </c>
      <c r="Z153" s="12" t="n">
        <f aca="false">ROUND(P153*130*Q153,-1)</f>
        <v>4330</v>
      </c>
      <c r="AA153" s="12" t="n">
        <f aca="false">ROUND(P153*120*Q153,-1)</f>
        <v>4000</v>
      </c>
      <c r="AB153" s="12" t="n">
        <f aca="false">ROUND(P153*110*Q153,-1)</f>
        <v>3670</v>
      </c>
      <c r="AC153" s="12" t="n">
        <f aca="false">ROUND(P153*100*Q153,-1)</f>
        <v>3330</v>
      </c>
      <c r="AD153" s="10" t="s">
        <v>542</v>
      </c>
      <c r="AE153" s="16"/>
      <c r="AF153" s="16"/>
      <c r="AG153" s="16"/>
    </row>
    <row r="154" customFormat="false" ht="15" hidden="false" customHeight="false" outlineLevel="0" collapsed="false">
      <c r="A154" s="12" t="n">
        <v>153</v>
      </c>
      <c r="B154" s="13" t="s">
        <v>543</v>
      </c>
      <c r="C154" s="10" t="s">
        <v>544</v>
      </c>
      <c r="D154" s="14" t="s">
        <v>84</v>
      </c>
      <c r="E154" s="14" t="s">
        <v>84</v>
      </c>
      <c r="F154" s="15" t="n">
        <f aca="false">MAX(IFERROR(INDEX(Stations!$B$2:$B$31,MATCH(D154,Stations!$A$2:$A$31,0)),0),IFERROR(INDEX(Stations!$B$2:$B$31,MATCH(E154,Stations!$A$2:$A$31,0)),0))</f>
        <v>3.9</v>
      </c>
      <c r="G154" s="16" t="n">
        <v>15</v>
      </c>
      <c r="H154" s="16" t="n">
        <v>0</v>
      </c>
      <c r="I154" s="16" t="n">
        <v>12</v>
      </c>
      <c r="J154" s="16" t="n">
        <v>500</v>
      </c>
      <c r="K154" s="14" t="s">
        <v>126</v>
      </c>
      <c r="L154" s="14" t="s">
        <v>147</v>
      </c>
      <c r="M154" s="14" t="s">
        <v>220</v>
      </c>
      <c r="N154" s="16" t="n">
        <v>5</v>
      </c>
      <c r="O154" s="16" t="s">
        <v>252</v>
      </c>
      <c r="P154" s="12" t="n">
        <f aca="false">INDEX(Scale!$B$16:$B$26,MATCH(K154,Scale!$A$16:$A$26,0))</f>
        <v>5.5</v>
      </c>
      <c r="Q154" s="15" t="n">
        <f aca="false">I154/3+J154/350</f>
        <v>5.42857142857143</v>
      </c>
      <c r="R154" s="15" t="n">
        <f aca="false">I154/4.2+J154/500</f>
        <v>3.85714285714286</v>
      </c>
      <c r="S154" s="15" t="n">
        <f aca="false">2*F154+2*G154/60+2*H154/60+Q154+1</f>
        <v>14.7285714285714</v>
      </c>
      <c r="T154" s="15" t="n">
        <f aca="false">I154+J154/100</f>
        <v>17</v>
      </c>
      <c r="U154" s="12" t="n">
        <f aca="false">INDEX(Scale!$B$3:$B$12,MATCH(T154,Scale!$A$3:$A$12,1))</f>
        <v>5</v>
      </c>
      <c r="V154" s="12" t="n">
        <f aca="false">INDEX(Scale!$B$30:$B$38,MATCH(L154,Scale!$A$30:$A$38,0))</f>
        <v>0</v>
      </c>
      <c r="W154" s="17" t="n">
        <f aca="false">MAX(U154,V154)</f>
        <v>5</v>
      </c>
      <c r="X154" s="12" t="n">
        <f aca="false">IF(W154&lt;=3,1,IF(W154&lt;=5,2,IF(W154&lt;=7,3,IF(W154&lt;=8,4,5))))</f>
        <v>2</v>
      </c>
      <c r="Y154" s="13" t="str">
        <f aca="false">IF(S154&lt;=13,"1 day",IF(S154&lt;=15,"1 long day","2 days"))</f>
        <v>1 long day</v>
      </c>
      <c r="Z154" s="12" t="n">
        <f aca="false">ROUND(P154*130*Q154,-1)</f>
        <v>3880</v>
      </c>
      <c r="AA154" s="12" t="n">
        <f aca="false">ROUND(P154*120*Q154,-1)</f>
        <v>3580</v>
      </c>
      <c r="AB154" s="12" t="n">
        <f aca="false">ROUND(P154*110*Q154,-1)</f>
        <v>3280</v>
      </c>
      <c r="AC154" s="12" t="n">
        <f aca="false">ROUND(P154*100*Q154,-1)</f>
        <v>2990</v>
      </c>
      <c r="AD154" s="10" t="s">
        <v>545</v>
      </c>
      <c r="AE154" s="16"/>
      <c r="AF154" s="16"/>
      <c r="AG154" s="16"/>
    </row>
    <row r="155" customFormat="false" ht="15" hidden="false" customHeight="false" outlineLevel="0" collapsed="false">
      <c r="A155" s="12" t="n">
        <v>154</v>
      </c>
      <c r="B155" s="13" t="s">
        <v>546</v>
      </c>
      <c r="C155" s="10" t="s">
        <v>547</v>
      </c>
      <c r="D155" s="14" t="s">
        <v>101</v>
      </c>
      <c r="E155" s="14" t="s">
        <v>101</v>
      </c>
      <c r="F155" s="15" t="n">
        <f aca="false">MAX(IFERROR(INDEX(Stations!$B$2:$B$31,MATCH(D155,Stations!$A$2:$A$31,0)),0),IFERROR(INDEX(Stations!$B$2:$B$31,MATCH(E155,Stations!$A$2:$A$31,0)),0))</f>
        <v>4.5</v>
      </c>
      <c r="G155" s="16" t="n">
        <v>20</v>
      </c>
      <c r="H155" s="16" t="n">
        <v>30</v>
      </c>
      <c r="I155" s="16" t="n">
        <v>12</v>
      </c>
      <c r="J155" s="16" t="n">
        <v>1000</v>
      </c>
      <c r="K155" s="14" t="s">
        <v>128</v>
      </c>
      <c r="L155" s="14" t="s">
        <v>149</v>
      </c>
      <c r="M155" s="14" t="s">
        <v>239</v>
      </c>
      <c r="N155" s="16" t="n">
        <v>4</v>
      </c>
      <c r="O155" s="16" t="s">
        <v>252</v>
      </c>
      <c r="P155" s="12" t="n">
        <f aca="false">INDEX(Scale!$B$16:$B$26,MATCH(K155,Scale!$A$16:$A$26,0))</f>
        <v>6.3</v>
      </c>
      <c r="Q155" s="15" t="n">
        <f aca="false">I155/3+J155/350</f>
        <v>6.85714285714286</v>
      </c>
      <c r="R155" s="15" t="n">
        <f aca="false">I155/4.2+J155/500</f>
        <v>4.85714285714286</v>
      </c>
      <c r="S155" s="15" t="n">
        <f aca="false">2*F155+2*G155/60+2*H155/60+Q155+1</f>
        <v>18.5238095238095</v>
      </c>
      <c r="T155" s="15" t="n">
        <f aca="false">I155+J155/100</f>
        <v>22</v>
      </c>
      <c r="U155" s="12" t="n">
        <f aca="false">INDEX(Scale!$B$3:$B$12,MATCH(T155,Scale!$A$3:$A$12,1))</f>
        <v>6</v>
      </c>
      <c r="V155" s="12" t="n">
        <f aca="false">INDEX(Scale!$B$30:$B$38,MATCH(L155,Scale!$A$30:$A$38,0))</f>
        <v>3</v>
      </c>
      <c r="W155" s="17" t="n">
        <f aca="false">MAX(U155,V155)</f>
        <v>6</v>
      </c>
      <c r="X155" s="12" t="n">
        <f aca="false">IF(W155&lt;=3,1,IF(W155&lt;=5,2,IF(W155&lt;=7,3,IF(W155&lt;=8,4,5))))</f>
        <v>3</v>
      </c>
      <c r="Y155" s="13" t="str">
        <f aca="false">IF(S155&lt;=13,"1 day",IF(S155&lt;=15,"1 long day","2 days"))</f>
        <v>2 days</v>
      </c>
      <c r="Z155" s="12" t="n">
        <f aca="false">ROUND(P155*130*Q155,-1)</f>
        <v>5620</v>
      </c>
      <c r="AA155" s="12" t="n">
        <f aca="false">ROUND(P155*120*Q155,-1)</f>
        <v>5180</v>
      </c>
      <c r="AB155" s="12" t="n">
        <f aca="false">ROUND(P155*110*Q155,-1)</f>
        <v>4750</v>
      </c>
      <c r="AC155" s="12" t="n">
        <f aca="false">ROUND(P155*100*Q155,-1)</f>
        <v>4320</v>
      </c>
      <c r="AD155" s="10" t="s">
        <v>548</v>
      </c>
      <c r="AE155" s="16"/>
      <c r="AF155" s="16"/>
      <c r="AG155" s="16"/>
    </row>
    <row r="156" customFormat="false" ht="15" hidden="false" customHeight="false" outlineLevel="0" collapsed="false">
      <c r="A156" s="12" t="n">
        <v>155</v>
      </c>
      <c r="B156" s="13" t="s">
        <v>546</v>
      </c>
      <c r="C156" s="10" t="s">
        <v>549</v>
      </c>
      <c r="D156" s="14" t="s">
        <v>101</v>
      </c>
      <c r="E156" s="14" t="s">
        <v>101</v>
      </c>
      <c r="F156" s="15" t="n">
        <f aca="false">MAX(IFERROR(INDEX(Stations!$B$2:$B$31,MATCH(D156,Stations!$A$2:$A$31,0)),0),IFERROR(INDEX(Stations!$B$2:$B$31,MATCH(E156,Stations!$A$2:$A$31,0)),0))</f>
        <v>4.5</v>
      </c>
      <c r="G156" s="16" t="n">
        <v>20</v>
      </c>
      <c r="H156" s="16" t="n">
        <v>30</v>
      </c>
      <c r="I156" s="16" t="n">
        <v>14</v>
      </c>
      <c r="J156" s="16" t="n">
        <v>1100</v>
      </c>
      <c r="K156" s="14" t="s">
        <v>128</v>
      </c>
      <c r="L156" s="14" t="s">
        <v>149</v>
      </c>
      <c r="M156" s="14" t="s">
        <v>239</v>
      </c>
      <c r="N156" s="16" t="n">
        <v>5</v>
      </c>
      <c r="O156" s="16" t="s">
        <v>252</v>
      </c>
      <c r="P156" s="12" t="n">
        <f aca="false">INDEX(Scale!$B$16:$B$26,MATCH(K156,Scale!$A$16:$A$26,0))</f>
        <v>6.3</v>
      </c>
      <c r="Q156" s="15" t="n">
        <f aca="false">I156/3+J156/350</f>
        <v>7.80952380952381</v>
      </c>
      <c r="R156" s="15" t="n">
        <f aca="false">I156/4.2+J156/500</f>
        <v>5.53333333333333</v>
      </c>
      <c r="S156" s="15" t="n">
        <f aca="false">2*F156+2*G156/60+2*H156/60+Q156+1</f>
        <v>19.4761904761905</v>
      </c>
      <c r="T156" s="15" t="n">
        <f aca="false">I156+J156/100</f>
        <v>25</v>
      </c>
      <c r="U156" s="12" t="n">
        <f aca="false">INDEX(Scale!$B$3:$B$12,MATCH(T156,Scale!$A$3:$A$12,1))</f>
        <v>6</v>
      </c>
      <c r="V156" s="12" t="n">
        <f aca="false">INDEX(Scale!$B$30:$B$38,MATCH(L156,Scale!$A$30:$A$38,0))</f>
        <v>3</v>
      </c>
      <c r="W156" s="17" t="n">
        <f aca="false">MAX(U156,V156)</f>
        <v>6</v>
      </c>
      <c r="X156" s="12" t="n">
        <f aca="false">IF(W156&lt;=3,1,IF(W156&lt;=5,2,IF(W156&lt;=7,3,IF(W156&lt;=8,4,5))))</f>
        <v>3</v>
      </c>
      <c r="Y156" s="13" t="str">
        <f aca="false">IF(S156&lt;=13,"1 day",IF(S156&lt;=15,"1 long day","2 days"))</f>
        <v>2 days</v>
      </c>
      <c r="Z156" s="12" t="n">
        <f aca="false">ROUND(P156*130*Q156,-1)</f>
        <v>6400</v>
      </c>
      <c r="AA156" s="12" t="n">
        <f aca="false">ROUND(P156*120*Q156,-1)</f>
        <v>5900</v>
      </c>
      <c r="AB156" s="12" t="n">
        <f aca="false">ROUND(P156*110*Q156,-1)</f>
        <v>5410</v>
      </c>
      <c r="AC156" s="12" t="n">
        <f aca="false">ROUND(P156*100*Q156,-1)</f>
        <v>4920</v>
      </c>
      <c r="AD156" s="10" t="s">
        <v>550</v>
      </c>
      <c r="AE156" s="16"/>
      <c r="AF156" s="16"/>
      <c r="AG156" s="16"/>
    </row>
    <row r="157" customFormat="false" ht="15" hidden="false" customHeight="false" outlineLevel="0" collapsed="false">
      <c r="A157" s="12" t="n">
        <v>156</v>
      </c>
      <c r="B157" s="13" t="s">
        <v>546</v>
      </c>
      <c r="C157" s="10" t="s">
        <v>551</v>
      </c>
      <c r="D157" s="14" t="s">
        <v>101</v>
      </c>
      <c r="E157" s="14" t="s">
        <v>101</v>
      </c>
      <c r="F157" s="15" t="n">
        <f aca="false">MAX(IFERROR(INDEX(Stations!$B$2:$B$31,MATCH(D157,Stations!$A$2:$A$31,0)),0),IFERROR(INDEX(Stations!$B$2:$B$31,MATCH(E157,Stations!$A$2:$A$31,0)),0))</f>
        <v>4.5</v>
      </c>
      <c r="G157" s="16" t="n">
        <v>20</v>
      </c>
      <c r="H157" s="16" t="n">
        <v>30</v>
      </c>
      <c r="I157" s="16" t="n">
        <v>8</v>
      </c>
      <c r="J157" s="16" t="n">
        <v>400</v>
      </c>
      <c r="K157" s="14" t="s">
        <v>126</v>
      </c>
      <c r="L157" s="14" t="s">
        <v>147</v>
      </c>
      <c r="M157" s="14" t="s">
        <v>234</v>
      </c>
      <c r="N157" s="16" t="n">
        <v>5</v>
      </c>
      <c r="O157" s="16" t="s">
        <v>252</v>
      </c>
      <c r="P157" s="12" t="n">
        <f aca="false">INDEX(Scale!$B$16:$B$26,MATCH(K157,Scale!$A$16:$A$26,0))</f>
        <v>5.5</v>
      </c>
      <c r="Q157" s="15" t="n">
        <f aca="false">I157/3+J157/350</f>
        <v>3.80952380952381</v>
      </c>
      <c r="R157" s="15" t="n">
        <f aca="false">I157/4.2+J157/500</f>
        <v>2.70476190476191</v>
      </c>
      <c r="S157" s="15" t="n">
        <f aca="false">2*F157+2*G157/60+2*H157/60+Q157+1</f>
        <v>15.4761904761905</v>
      </c>
      <c r="T157" s="15" t="n">
        <f aca="false">I157+J157/100</f>
        <v>12</v>
      </c>
      <c r="U157" s="12" t="n">
        <f aca="false">INDEX(Scale!$B$3:$B$12,MATCH(T157,Scale!$A$3:$A$12,1))</f>
        <v>4</v>
      </c>
      <c r="V157" s="12" t="n">
        <f aca="false">INDEX(Scale!$B$30:$B$38,MATCH(L157,Scale!$A$30:$A$38,0))</f>
        <v>0</v>
      </c>
      <c r="W157" s="17" t="n">
        <f aca="false">MAX(U157,V157)</f>
        <v>4</v>
      </c>
      <c r="X157" s="12" t="n">
        <f aca="false">IF(W157&lt;=3,1,IF(W157&lt;=5,2,IF(W157&lt;=7,3,IF(W157&lt;=8,4,5))))</f>
        <v>2</v>
      </c>
      <c r="Y157" s="13" t="str">
        <f aca="false">IF(S157&lt;=13,"1 day",IF(S157&lt;=15,"1 long day","2 days"))</f>
        <v>2 days</v>
      </c>
      <c r="Z157" s="12" t="n">
        <f aca="false">ROUND(P157*130*Q157,-1)</f>
        <v>2720</v>
      </c>
      <c r="AA157" s="12" t="n">
        <f aca="false">ROUND(P157*120*Q157,-1)</f>
        <v>2510</v>
      </c>
      <c r="AB157" s="12" t="n">
        <f aca="false">ROUND(P157*110*Q157,-1)</f>
        <v>2300</v>
      </c>
      <c r="AC157" s="12" t="n">
        <f aca="false">ROUND(P157*100*Q157,-1)</f>
        <v>2100</v>
      </c>
      <c r="AD157" s="10" t="s">
        <v>552</v>
      </c>
      <c r="AE157" s="16"/>
      <c r="AF157" s="16"/>
      <c r="AG157" s="16"/>
    </row>
    <row r="158" customFormat="false" ht="15" hidden="false" customHeight="false" outlineLevel="0" collapsed="false">
      <c r="A158" s="12" t="n">
        <v>157</v>
      </c>
      <c r="B158" s="13" t="s">
        <v>362</v>
      </c>
      <c r="C158" s="10" t="s">
        <v>553</v>
      </c>
      <c r="D158" s="14" t="s">
        <v>73</v>
      </c>
      <c r="E158" s="14" t="s">
        <v>73</v>
      </c>
      <c r="F158" s="15" t="n">
        <f aca="false">MAX(IFERROR(INDEX(Stations!$B$2:$B$31,MATCH(D158,Stations!$A$2:$A$31,0)),0),IFERROR(INDEX(Stations!$B$2:$B$31,MATCH(E158,Stations!$A$2:$A$31,0)),0))</f>
        <v>3</v>
      </c>
      <c r="G158" s="16" t="n">
        <v>20</v>
      </c>
      <c r="H158" s="16" t="n">
        <v>0</v>
      </c>
      <c r="I158" s="16" t="n">
        <v>10</v>
      </c>
      <c r="J158" s="16" t="n">
        <v>700</v>
      </c>
      <c r="K158" s="14" t="s">
        <v>130</v>
      </c>
      <c r="L158" s="14" t="s">
        <v>149</v>
      </c>
      <c r="M158" s="14" t="s">
        <v>234</v>
      </c>
      <c r="N158" s="16" t="n">
        <v>5</v>
      </c>
      <c r="O158" s="16" t="s">
        <v>226</v>
      </c>
      <c r="P158" s="12" t="n">
        <f aca="false">INDEX(Scale!$B$16:$B$26,MATCH(K158,Scale!$A$16:$A$26,0))</f>
        <v>7</v>
      </c>
      <c r="Q158" s="15" t="n">
        <f aca="false">I158/3+J158/350</f>
        <v>5.33333333333333</v>
      </c>
      <c r="R158" s="15" t="n">
        <f aca="false">I158/4.2+J158/500</f>
        <v>3.78095238095238</v>
      </c>
      <c r="S158" s="15" t="n">
        <f aca="false">2*F158+2*G158/60+2*H158/60+Q158+1</f>
        <v>13</v>
      </c>
      <c r="T158" s="15" t="n">
        <f aca="false">I158+J158/100</f>
        <v>17</v>
      </c>
      <c r="U158" s="12" t="n">
        <f aca="false">INDEX(Scale!$B$3:$B$12,MATCH(T158,Scale!$A$3:$A$12,1))</f>
        <v>5</v>
      </c>
      <c r="V158" s="12" t="n">
        <f aca="false">INDEX(Scale!$B$30:$B$38,MATCH(L158,Scale!$A$30:$A$38,0))</f>
        <v>3</v>
      </c>
      <c r="W158" s="17" t="n">
        <f aca="false">MAX(U158,V158)</f>
        <v>5</v>
      </c>
      <c r="X158" s="12" t="n">
        <f aca="false">IF(W158&lt;=3,1,IF(W158&lt;=5,2,IF(W158&lt;=7,3,IF(W158&lt;=8,4,5))))</f>
        <v>2</v>
      </c>
      <c r="Y158" s="13" t="str">
        <f aca="false">IF(S158&lt;=13,"1 day",IF(S158&lt;=15,"1 long day","2 days"))</f>
        <v>1 day</v>
      </c>
      <c r="Z158" s="12" t="n">
        <f aca="false">ROUND(P158*130*Q158,-1)</f>
        <v>4850</v>
      </c>
      <c r="AA158" s="12" t="n">
        <f aca="false">ROUND(P158*120*Q158,-1)</f>
        <v>4480</v>
      </c>
      <c r="AB158" s="12" t="n">
        <f aca="false">ROUND(P158*110*Q158,-1)</f>
        <v>4110</v>
      </c>
      <c r="AC158" s="12" t="n">
        <f aca="false">ROUND(P158*100*Q158,-1)</f>
        <v>3730</v>
      </c>
      <c r="AD158" s="10" t="s">
        <v>554</v>
      </c>
      <c r="AE158" s="16"/>
      <c r="AF158" s="16"/>
      <c r="AG158" s="16"/>
    </row>
    <row r="159" customFormat="false" ht="15" hidden="false" customHeight="false" outlineLevel="0" collapsed="false">
      <c r="A159" s="12" t="n">
        <v>158</v>
      </c>
      <c r="B159" s="13" t="s">
        <v>362</v>
      </c>
      <c r="C159" s="10" t="s">
        <v>555</v>
      </c>
      <c r="D159" s="14" t="s">
        <v>73</v>
      </c>
      <c r="E159" s="14" t="s">
        <v>73</v>
      </c>
      <c r="F159" s="15" t="n">
        <f aca="false">MAX(IFERROR(INDEX(Stations!$B$2:$B$31,MATCH(D159,Stations!$A$2:$A$31,0)),0),IFERROR(INDEX(Stations!$B$2:$B$31,MATCH(E159,Stations!$A$2:$A$31,0)),0))</f>
        <v>3</v>
      </c>
      <c r="G159" s="16" t="n">
        <v>15</v>
      </c>
      <c r="H159" s="16" t="n">
        <v>0</v>
      </c>
      <c r="I159" s="16" t="n">
        <v>8</v>
      </c>
      <c r="J159" s="16" t="n">
        <v>350</v>
      </c>
      <c r="K159" s="14" t="s">
        <v>126</v>
      </c>
      <c r="L159" s="14" t="s">
        <v>147</v>
      </c>
      <c r="M159" s="14" t="s">
        <v>220</v>
      </c>
      <c r="N159" s="16" t="n">
        <v>5</v>
      </c>
      <c r="O159" s="16" t="s">
        <v>252</v>
      </c>
      <c r="P159" s="12" t="n">
        <f aca="false">INDEX(Scale!$B$16:$B$26,MATCH(K159,Scale!$A$16:$A$26,0))</f>
        <v>5.5</v>
      </c>
      <c r="Q159" s="15" t="n">
        <f aca="false">I159/3+J159/350</f>
        <v>3.66666666666667</v>
      </c>
      <c r="R159" s="15" t="n">
        <f aca="false">I159/4.2+J159/500</f>
        <v>2.6047619047619</v>
      </c>
      <c r="S159" s="15" t="n">
        <f aca="false">2*F159+2*G159/60+2*H159/60+Q159+1</f>
        <v>11.1666666666667</v>
      </c>
      <c r="T159" s="15" t="n">
        <f aca="false">I159+J159/100</f>
        <v>11.5</v>
      </c>
      <c r="U159" s="12" t="n">
        <f aca="false">INDEX(Scale!$B$3:$B$12,MATCH(T159,Scale!$A$3:$A$12,1))</f>
        <v>3</v>
      </c>
      <c r="V159" s="12" t="n">
        <f aca="false">INDEX(Scale!$B$30:$B$38,MATCH(L159,Scale!$A$30:$A$38,0))</f>
        <v>0</v>
      </c>
      <c r="W159" s="17" t="n">
        <f aca="false">MAX(U159,V159)</f>
        <v>3</v>
      </c>
      <c r="X159" s="12" t="n">
        <f aca="false">IF(W159&lt;=3,1,IF(W159&lt;=5,2,IF(W159&lt;=7,3,IF(W159&lt;=8,4,5))))</f>
        <v>1</v>
      </c>
      <c r="Y159" s="13" t="str">
        <f aca="false">IF(S159&lt;=13,"1 day",IF(S159&lt;=15,"1 long day","2 days"))</f>
        <v>1 day</v>
      </c>
      <c r="Z159" s="12" t="n">
        <f aca="false">ROUND(P159*130*Q159,-1)</f>
        <v>2620</v>
      </c>
      <c r="AA159" s="12" t="n">
        <f aca="false">ROUND(P159*120*Q159,-1)</f>
        <v>2420</v>
      </c>
      <c r="AB159" s="12" t="n">
        <f aca="false">ROUND(P159*110*Q159,-1)</f>
        <v>2220</v>
      </c>
      <c r="AC159" s="12" t="n">
        <f aca="false">ROUND(P159*100*Q159,-1)</f>
        <v>2020</v>
      </c>
      <c r="AD159" s="10" t="s">
        <v>556</v>
      </c>
      <c r="AE159" s="16"/>
      <c r="AF159" s="16"/>
      <c r="AG159" s="16"/>
    </row>
    <row r="160" customFormat="false" ht="15" hidden="false" customHeight="false" outlineLevel="0" collapsed="false">
      <c r="A160" s="12" t="n">
        <v>159</v>
      </c>
      <c r="B160" s="13" t="s">
        <v>362</v>
      </c>
      <c r="C160" s="10" t="s">
        <v>557</v>
      </c>
      <c r="D160" s="14" t="s">
        <v>76</v>
      </c>
      <c r="E160" s="14" t="s">
        <v>76</v>
      </c>
      <c r="F160" s="15" t="n">
        <f aca="false">MAX(IFERROR(INDEX(Stations!$B$2:$B$31,MATCH(D160,Stations!$A$2:$A$31,0)),0),IFERROR(INDEX(Stations!$B$2:$B$31,MATCH(E160,Stations!$A$2:$A$31,0)),0))</f>
        <v>3.2</v>
      </c>
      <c r="G160" s="16" t="n">
        <v>15</v>
      </c>
      <c r="H160" s="16" t="n">
        <v>0</v>
      </c>
      <c r="I160" s="16" t="n">
        <v>12</v>
      </c>
      <c r="J160" s="16" t="n">
        <v>450</v>
      </c>
      <c r="K160" s="14" t="s">
        <v>126</v>
      </c>
      <c r="L160" s="14" t="s">
        <v>147</v>
      </c>
      <c r="M160" s="14" t="s">
        <v>220</v>
      </c>
      <c r="N160" s="16" t="n">
        <v>5</v>
      </c>
      <c r="O160" s="16" t="s">
        <v>252</v>
      </c>
      <c r="P160" s="12" t="n">
        <f aca="false">INDEX(Scale!$B$16:$B$26,MATCH(K160,Scale!$A$16:$A$26,0))</f>
        <v>5.5</v>
      </c>
      <c r="Q160" s="15" t="n">
        <f aca="false">I160/3+J160/350</f>
        <v>5.28571428571429</v>
      </c>
      <c r="R160" s="15" t="n">
        <f aca="false">I160/4.2+J160/500</f>
        <v>3.75714285714286</v>
      </c>
      <c r="S160" s="15" t="n">
        <f aca="false">2*F160+2*G160/60+2*H160/60+Q160+1</f>
        <v>13.1857142857143</v>
      </c>
      <c r="T160" s="15" t="n">
        <f aca="false">I160+J160/100</f>
        <v>16.5</v>
      </c>
      <c r="U160" s="12" t="n">
        <f aca="false">INDEX(Scale!$B$3:$B$12,MATCH(T160,Scale!$A$3:$A$12,1))</f>
        <v>5</v>
      </c>
      <c r="V160" s="12" t="n">
        <f aca="false">INDEX(Scale!$B$30:$B$38,MATCH(L160,Scale!$A$30:$A$38,0))</f>
        <v>0</v>
      </c>
      <c r="W160" s="17" t="n">
        <f aca="false">MAX(U160,V160)</f>
        <v>5</v>
      </c>
      <c r="X160" s="12" t="n">
        <f aca="false">IF(W160&lt;=3,1,IF(W160&lt;=5,2,IF(W160&lt;=7,3,IF(W160&lt;=8,4,5))))</f>
        <v>2</v>
      </c>
      <c r="Y160" s="13" t="str">
        <f aca="false">IF(S160&lt;=13,"1 day",IF(S160&lt;=15,"1 long day","2 days"))</f>
        <v>1 long day</v>
      </c>
      <c r="Z160" s="12" t="n">
        <f aca="false">ROUND(P160*130*Q160,-1)</f>
        <v>3780</v>
      </c>
      <c r="AA160" s="12" t="n">
        <f aca="false">ROUND(P160*120*Q160,-1)</f>
        <v>3490</v>
      </c>
      <c r="AB160" s="12" t="n">
        <f aca="false">ROUND(P160*110*Q160,-1)</f>
        <v>3200</v>
      </c>
      <c r="AC160" s="12" t="n">
        <f aca="false">ROUND(P160*100*Q160,-1)</f>
        <v>2910</v>
      </c>
      <c r="AD160" s="10" t="s">
        <v>558</v>
      </c>
      <c r="AE160" s="16"/>
      <c r="AF160" s="16"/>
      <c r="AG160" s="16"/>
    </row>
    <row r="161" customFormat="false" ht="15" hidden="false" customHeight="false" outlineLevel="0" collapsed="false">
      <c r="A161" s="12" t="n">
        <v>160</v>
      </c>
      <c r="B161" s="13" t="s">
        <v>559</v>
      </c>
      <c r="C161" s="10" t="s">
        <v>560</v>
      </c>
      <c r="D161" s="14" t="s">
        <v>86</v>
      </c>
      <c r="E161" s="14" t="s">
        <v>86</v>
      </c>
      <c r="F161" s="15" t="n">
        <f aca="false">MAX(IFERROR(INDEX(Stations!$B$2:$B$31,MATCH(D161,Stations!$A$2:$A$31,0)),0),IFERROR(INDEX(Stations!$B$2:$B$31,MATCH(E161,Stations!$A$2:$A$31,0)),0))</f>
        <v>4</v>
      </c>
      <c r="G161" s="16" t="n">
        <v>30</v>
      </c>
      <c r="H161" s="16" t="n">
        <v>45</v>
      </c>
      <c r="I161" s="16" t="n">
        <v>12</v>
      </c>
      <c r="J161" s="16" t="n">
        <v>900</v>
      </c>
      <c r="K161" s="14" t="s">
        <v>128</v>
      </c>
      <c r="L161" s="14" t="s">
        <v>149</v>
      </c>
      <c r="M161" s="14" t="s">
        <v>286</v>
      </c>
      <c r="N161" s="16" t="n">
        <v>4</v>
      </c>
      <c r="O161" s="16" t="s">
        <v>252</v>
      </c>
      <c r="P161" s="12" t="n">
        <f aca="false">INDEX(Scale!$B$16:$B$26,MATCH(K161,Scale!$A$16:$A$26,0))</f>
        <v>6.3</v>
      </c>
      <c r="Q161" s="15" t="n">
        <f aca="false">I161/3+J161/350</f>
        <v>6.57142857142857</v>
      </c>
      <c r="R161" s="15" t="n">
        <f aca="false">I161/4.2+J161/500</f>
        <v>4.65714285714286</v>
      </c>
      <c r="S161" s="15" t="n">
        <f aca="false">2*F161+2*G161/60+2*H161/60+Q161+1</f>
        <v>18.0714285714286</v>
      </c>
      <c r="T161" s="15" t="n">
        <f aca="false">I161+J161/100</f>
        <v>21</v>
      </c>
      <c r="U161" s="12" t="n">
        <f aca="false">INDEX(Scale!$B$3:$B$12,MATCH(T161,Scale!$A$3:$A$12,1))</f>
        <v>6</v>
      </c>
      <c r="V161" s="12" t="n">
        <f aca="false">INDEX(Scale!$B$30:$B$38,MATCH(L161,Scale!$A$30:$A$38,0))</f>
        <v>3</v>
      </c>
      <c r="W161" s="17" t="n">
        <f aca="false">MAX(U161,V161)</f>
        <v>6</v>
      </c>
      <c r="X161" s="12" t="n">
        <f aca="false">IF(W161&lt;=3,1,IF(W161&lt;=5,2,IF(W161&lt;=7,3,IF(W161&lt;=8,4,5))))</f>
        <v>3</v>
      </c>
      <c r="Y161" s="13" t="str">
        <f aca="false">IF(S161&lt;=13,"1 day",IF(S161&lt;=15,"1 long day","2 days"))</f>
        <v>2 days</v>
      </c>
      <c r="Z161" s="12" t="n">
        <f aca="false">ROUND(P161*130*Q161,-1)</f>
        <v>5380</v>
      </c>
      <c r="AA161" s="12" t="n">
        <f aca="false">ROUND(P161*120*Q161,-1)</f>
        <v>4970</v>
      </c>
      <c r="AB161" s="12" t="n">
        <f aca="false">ROUND(P161*110*Q161,-1)</f>
        <v>4550</v>
      </c>
      <c r="AC161" s="12" t="n">
        <f aca="false">ROUND(P161*100*Q161,-1)</f>
        <v>4140</v>
      </c>
      <c r="AD161" s="10" t="s">
        <v>561</v>
      </c>
      <c r="AE161" s="16"/>
      <c r="AF161" s="16"/>
      <c r="AG161" s="16"/>
    </row>
    <row r="162" customFormat="false" ht="15" hidden="false" customHeight="false" outlineLevel="0" collapsed="false">
      <c r="A162" s="12" t="n">
        <v>161</v>
      </c>
      <c r="B162" s="13" t="s">
        <v>559</v>
      </c>
      <c r="C162" s="10" t="s">
        <v>562</v>
      </c>
      <c r="D162" s="14" t="s">
        <v>86</v>
      </c>
      <c r="E162" s="14" t="s">
        <v>86</v>
      </c>
      <c r="F162" s="15" t="n">
        <f aca="false">MAX(IFERROR(INDEX(Stations!$B$2:$B$31,MATCH(D162,Stations!$A$2:$A$31,0)),0),IFERROR(INDEX(Stations!$B$2:$B$31,MATCH(E162,Stations!$A$2:$A$31,0)),0))</f>
        <v>4</v>
      </c>
      <c r="G162" s="16" t="n">
        <v>30</v>
      </c>
      <c r="H162" s="16" t="n">
        <v>45</v>
      </c>
      <c r="I162" s="16" t="n">
        <v>18</v>
      </c>
      <c r="J162" s="16" t="n">
        <v>1500</v>
      </c>
      <c r="K162" s="14" t="s">
        <v>130</v>
      </c>
      <c r="L162" s="14" t="s">
        <v>149</v>
      </c>
      <c r="M162" s="14" t="s">
        <v>286</v>
      </c>
      <c r="N162" s="16" t="n">
        <v>4</v>
      </c>
      <c r="O162" s="16" t="s">
        <v>252</v>
      </c>
      <c r="P162" s="12" t="n">
        <f aca="false">INDEX(Scale!$B$16:$B$26,MATCH(K162,Scale!$A$16:$A$26,0))</f>
        <v>7</v>
      </c>
      <c r="Q162" s="15" t="n">
        <f aca="false">I162/3+J162/350</f>
        <v>10.2857142857143</v>
      </c>
      <c r="R162" s="15" t="n">
        <f aca="false">I162/4.2+J162/500</f>
        <v>7.28571428571429</v>
      </c>
      <c r="S162" s="15" t="n">
        <f aca="false">2*F162+2*G162/60+2*H162/60+Q162+1</f>
        <v>21.7857142857143</v>
      </c>
      <c r="T162" s="15" t="n">
        <f aca="false">I162+J162/100</f>
        <v>33</v>
      </c>
      <c r="U162" s="12" t="n">
        <f aca="false">INDEX(Scale!$B$3:$B$12,MATCH(T162,Scale!$A$3:$A$12,1))</f>
        <v>7</v>
      </c>
      <c r="V162" s="12" t="n">
        <f aca="false">INDEX(Scale!$B$30:$B$38,MATCH(L162,Scale!$A$30:$A$38,0))</f>
        <v>3</v>
      </c>
      <c r="W162" s="17" t="n">
        <f aca="false">MAX(U162,V162)</f>
        <v>7</v>
      </c>
      <c r="X162" s="12" t="n">
        <f aca="false">IF(W162&lt;=3,1,IF(W162&lt;=5,2,IF(W162&lt;=7,3,IF(W162&lt;=8,4,5))))</f>
        <v>3</v>
      </c>
      <c r="Y162" s="13" t="str">
        <f aca="false">IF(S162&lt;=13,"1 day",IF(S162&lt;=15,"1 long day","2 days"))</f>
        <v>2 days</v>
      </c>
      <c r="Z162" s="12" t="n">
        <f aca="false">ROUND(P162*130*Q162,-1)</f>
        <v>9360</v>
      </c>
      <c r="AA162" s="12" t="n">
        <f aca="false">ROUND(P162*120*Q162,-1)</f>
        <v>8640</v>
      </c>
      <c r="AB162" s="12" t="n">
        <f aca="false">ROUND(P162*110*Q162,-1)</f>
        <v>7920</v>
      </c>
      <c r="AC162" s="12" t="n">
        <f aca="false">ROUND(P162*100*Q162,-1)</f>
        <v>7200</v>
      </c>
      <c r="AD162" s="10" t="s">
        <v>563</v>
      </c>
      <c r="AE162" s="16"/>
      <c r="AF162" s="16"/>
      <c r="AG162" s="16"/>
    </row>
    <row r="163" customFormat="false" ht="15" hidden="false" customHeight="false" outlineLevel="0" collapsed="false">
      <c r="A163" s="12" t="n">
        <v>162</v>
      </c>
      <c r="B163" s="13" t="s">
        <v>559</v>
      </c>
      <c r="C163" s="10" t="s">
        <v>564</v>
      </c>
      <c r="D163" s="14" t="s">
        <v>89</v>
      </c>
      <c r="E163" s="14" t="s">
        <v>89</v>
      </c>
      <c r="F163" s="15" t="n">
        <f aca="false">MAX(IFERROR(INDEX(Stations!$B$2:$B$31,MATCH(D163,Stations!$A$2:$A$31,0)),0),IFERROR(INDEX(Stations!$B$2:$B$31,MATCH(E163,Stations!$A$2:$A$31,0)),0))</f>
        <v>4.4</v>
      </c>
      <c r="G163" s="16" t="n">
        <v>30</v>
      </c>
      <c r="H163" s="16" t="n">
        <v>40</v>
      </c>
      <c r="I163" s="16" t="n">
        <v>14</v>
      </c>
      <c r="J163" s="16" t="n">
        <v>1200</v>
      </c>
      <c r="K163" s="14" t="s">
        <v>128</v>
      </c>
      <c r="L163" s="14" t="s">
        <v>149</v>
      </c>
      <c r="M163" s="14" t="s">
        <v>286</v>
      </c>
      <c r="N163" s="16" t="n">
        <v>4</v>
      </c>
      <c r="O163" s="16" t="s">
        <v>252</v>
      </c>
      <c r="P163" s="12" t="n">
        <f aca="false">INDEX(Scale!$B$16:$B$26,MATCH(K163,Scale!$A$16:$A$26,0))</f>
        <v>6.3</v>
      </c>
      <c r="Q163" s="15" t="n">
        <f aca="false">I163/3+J163/350</f>
        <v>8.0952380952381</v>
      </c>
      <c r="R163" s="15" t="n">
        <f aca="false">I163/4.2+J163/500</f>
        <v>5.73333333333333</v>
      </c>
      <c r="S163" s="15" t="n">
        <f aca="false">2*F163+2*G163/60+2*H163/60+Q163+1</f>
        <v>20.2285714285714</v>
      </c>
      <c r="T163" s="15" t="n">
        <f aca="false">I163+J163/100</f>
        <v>26</v>
      </c>
      <c r="U163" s="12" t="n">
        <f aca="false">INDEX(Scale!$B$3:$B$12,MATCH(T163,Scale!$A$3:$A$12,1))</f>
        <v>6</v>
      </c>
      <c r="V163" s="12" t="n">
        <f aca="false">INDEX(Scale!$B$30:$B$38,MATCH(L163,Scale!$A$30:$A$38,0))</f>
        <v>3</v>
      </c>
      <c r="W163" s="17" t="n">
        <f aca="false">MAX(U163,V163)</f>
        <v>6</v>
      </c>
      <c r="X163" s="12" t="n">
        <f aca="false">IF(W163&lt;=3,1,IF(W163&lt;=5,2,IF(W163&lt;=7,3,IF(W163&lt;=8,4,5))))</f>
        <v>3</v>
      </c>
      <c r="Y163" s="13" t="str">
        <f aca="false">IF(S163&lt;=13,"1 day",IF(S163&lt;=15,"1 long day","2 days"))</f>
        <v>2 days</v>
      </c>
      <c r="Z163" s="12" t="n">
        <f aca="false">ROUND(P163*130*Q163,-1)</f>
        <v>6630</v>
      </c>
      <c r="AA163" s="12" t="n">
        <f aca="false">ROUND(P163*120*Q163,-1)</f>
        <v>6120</v>
      </c>
      <c r="AB163" s="12" t="n">
        <f aca="false">ROUND(P163*110*Q163,-1)</f>
        <v>5610</v>
      </c>
      <c r="AC163" s="12" t="n">
        <f aca="false">ROUND(P163*100*Q163,-1)</f>
        <v>5100</v>
      </c>
      <c r="AD163" s="10" t="s">
        <v>565</v>
      </c>
      <c r="AE163" s="16"/>
      <c r="AF163" s="16"/>
      <c r="AG163" s="16"/>
    </row>
    <row r="164" customFormat="false" ht="15" hidden="false" customHeight="false" outlineLevel="0" collapsed="false">
      <c r="A164" s="12" t="n">
        <v>163</v>
      </c>
      <c r="B164" s="13" t="s">
        <v>559</v>
      </c>
      <c r="C164" s="10" t="s">
        <v>566</v>
      </c>
      <c r="D164" s="14" t="s">
        <v>90</v>
      </c>
      <c r="E164" s="14" t="s">
        <v>90</v>
      </c>
      <c r="F164" s="15" t="n">
        <f aca="false">MAX(IFERROR(INDEX(Stations!$B$2:$B$31,MATCH(D164,Stations!$A$2:$A$31,0)),0),IFERROR(INDEX(Stations!$B$2:$B$31,MATCH(E164,Stations!$A$2:$A$31,0)),0))</f>
        <v>4.6</v>
      </c>
      <c r="G164" s="16" t="n">
        <v>30</v>
      </c>
      <c r="H164" s="16" t="n">
        <v>40</v>
      </c>
      <c r="I164" s="16" t="n">
        <v>20</v>
      </c>
      <c r="J164" s="16" t="n">
        <v>1600</v>
      </c>
      <c r="K164" s="14" t="s">
        <v>130</v>
      </c>
      <c r="L164" s="14" t="s">
        <v>153</v>
      </c>
      <c r="M164" s="14" t="s">
        <v>286</v>
      </c>
      <c r="N164" s="16" t="n">
        <v>5</v>
      </c>
      <c r="O164" s="16" t="s">
        <v>252</v>
      </c>
      <c r="P164" s="12" t="n">
        <f aca="false">INDEX(Scale!$B$16:$B$26,MATCH(K164,Scale!$A$16:$A$26,0))</f>
        <v>7</v>
      </c>
      <c r="Q164" s="15" t="n">
        <f aca="false">I164/3+J164/350</f>
        <v>11.2380952380952</v>
      </c>
      <c r="R164" s="15" t="n">
        <f aca="false">I164/4.2+J164/500</f>
        <v>7.96190476190476</v>
      </c>
      <c r="S164" s="15" t="n">
        <f aca="false">2*F164+2*G164/60+2*H164/60+Q164+1</f>
        <v>23.7714285714286</v>
      </c>
      <c r="T164" s="15" t="n">
        <f aca="false">I164+J164/100</f>
        <v>36</v>
      </c>
      <c r="U164" s="12" t="n">
        <f aca="false">INDEX(Scale!$B$3:$B$12,MATCH(T164,Scale!$A$3:$A$12,1))</f>
        <v>8</v>
      </c>
      <c r="V164" s="12" t="n">
        <f aca="false">INDEX(Scale!$B$30:$B$38,MATCH(L164,Scale!$A$30:$A$38,0))</f>
        <v>6</v>
      </c>
      <c r="W164" s="17" t="n">
        <f aca="false">MAX(U164,V164)</f>
        <v>8</v>
      </c>
      <c r="X164" s="12" t="n">
        <f aca="false">IF(W164&lt;=3,1,IF(W164&lt;=5,2,IF(W164&lt;=7,3,IF(W164&lt;=8,4,5))))</f>
        <v>4</v>
      </c>
      <c r="Y164" s="13" t="str">
        <f aca="false">IF(S164&lt;=13,"1 day",IF(S164&lt;=15,"1 long day","2 days"))</f>
        <v>2 days</v>
      </c>
      <c r="Z164" s="12" t="n">
        <f aca="false">ROUND(P164*130*Q164,-1)</f>
        <v>10230</v>
      </c>
      <c r="AA164" s="12" t="n">
        <f aca="false">ROUND(P164*120*Q164,-1)</f>
        <v>9440</v>
      </c>
      <c r="AB164" s="12" t="n">
        <f aca="false">ROUND(P164*110*Q164,-1)</f>
        <v>8650</v>
      </c>
      <c r="AC164" s="12" t="n">
        <f aca="false">ROUND(P164*100*Q164,-1)</f>
        <v>7870</v>
      </c>
      <c r="AD164" s="10" t="s">
        <v>567</v>
      </c>
      <c r="AE164" s="16"/>
      <c r="AF164" s="16"/>
      <c r="AG164" s="16"/>
    </row>
    <row r="165" customFormat="false" ht="15" hidden="false" customHeight="false" outlineLevel="0" collapsed="false">
      <c r="A165" s="12" t="n">
        <v>164</v>
      </c>
      <c r="B165" s="13" t="s">
        <v>568</v>
      </c>
      <c r="C165" s="10" t="s">
        <v>569</v>
      </c>
      <c r="D165" s="14" t="s">
        <v>51</v>
      </c>
      <c r="E165" s="14" t="s">
        <v>51</v>
      </c>
      <c r="F165" s="15" t="n">
        <f aca="false">MAX(IFERROR(INDEX(Stations!$B$2:$B$31,MATCH(D165,Stations!$A$2:$A$31,0)),0),IFERROR(INDEX(Stations!$B$2:$B$31,MATCH(E165,Stations!$A$2:$A$31,0)),0))</f>
        <v>1</v>
      </c>
      <c r="G165" s="16" t="n">
        <v>10</v>
      </c>
      <c r="H165" s="16" t="n">
        <v>0</v>
      </c>
      <c r="I165" s="16" t="n">
        <v>12</v>
      </c>
      <c r="J165" s="16" t="n">
        <v>50</v>
      </c>
      <c r="K165" s="14" t="s">
        <v>122</v>
      </c>
      <c r="L165" s="14" t="s">
        <v>147</v>
      </c>
      <c r="M165" s="14" t="s">
        <v>220</v>
      </c>
      <c r="N165" s="16" t="n">
        <v>4</v>
      </c>
      <c r="O165" s="16" t="s">
        <v>226</v>
      </c>
      <c r="P165" s="12" t="n">
        <f aca="false">INDEX(Scale!$B$16:$B$26,MATCH(K165,Scale!$A$16:$A$26,0))</f>
        <v>4</v>
      </c>
      <c r="Q165" s="15" t="n">
        <f aca="false">I165/3+J165/350</f>
        <v>4.14285714285714</v>
      </c>
      <c r="R165" s="15" t="n">
        <f aca="false">I165/4.2+J165/500</f>
        <v>2.95714285714286</v>
      </c>
      <c r="S165" s="15" t="n">
        <f aca="false">2*F165+2*G165/60+2*H165/60+Q165+1</f>
        <v>7.47619047619048</v>
      </c>
      <c r="T165" s="15" t="n">
        <f aca="false">I165+J165/100</f>
        <v>12.5</v>
      </c>
      <c r="U165" s="12" t="n">
        <f aca="false">INDEX(Scale!$B$3:$B$12,MATCH(T165,Scale!$A$3:$A$12,1))</f>
        <v>4</v>
      </c>
      <c r="V165" s="12" t="n">
        <f aca="false">INDEX(Scale!$B$30:$B$38,MATCH(L165,Scale!$A$30:$A$38,0))</f>
        <v>0</v>
      </c>
      <c r="W165" s="17" t="n">
        <f aca="false">MAX(U165,V165)</f>
        <v>4</v>
      </c>
      <c r="X165" s="12" t="n">
        <f aca="false">IF(W165&lt;=3,1,IF(W165&lt;=5,2,IF(W165&lt;=7,3,IF(W165&lt;=8,4,5))))</f>
        <v>2</v>
      </c>
      <c r="Y165" s="13" t="str">
        <f aca="false">IF(S165&lt;=13,"1 day",IF(S165&lt;=15,"1 long day","2 days"))</f>
        <v>1 day</v>
      </c>
      <c r="Z165" s="12" t="n">
        <f aca="false">ROUND(P165*130*Q165,-1)</f>
        <v>2150</v>
      </c>
      <c r="AA165" s="12" t="n">
        <f aca="false">ROUND(P165*120*Q165,-1)</f>
        <v>1990</v>
      </c>
      <c r="AB165" s="12" t="n">
        <f aca="false">ROUND(P165*110*Q165,-1)</f>
        <v>1820</v>
      </c>
      <c r="AC165" s="12" t="n">
        <f aca="false">ROUND(P165*100*Q165,-1)</f>
        <v>1660</v>
      </c>
      <c r="AD165" s="10" t="s">
        <v>570</v>
      </c>
      <c r="AE165" s="16"/>
      <c r="AF165" s="16"/>
      <c r="AG165" s="16"/>
    </row>
    <row r="166" customFormat="false" ht="15" hidden="false" customHeight="false" outlineLevel="0" collapsed="false">
      <c r="A166" s="12" t="n">
        <v>165</v>
      </c>
      <c r="B166" s="13" t="s">
        <v>568</v>
      </c>
      <c r="C166" s="10" t="s">
        <v>571</v>
      </c>
      <c r="D166" s="14" t="s">
        <v>51</v>
      </c>
      <c r="E166" s="14" t="s">
        <v>51</v>
      </c>
      <c r="F166" s="15" t="n">
        <f aca="false">MAX(IFERROR(INDEX(Stations!$B$2:$B$31,MATCH(D166,Stations!$A$2:$A$31,0)),0),IFERROR(INDEX(Stations!$B$2:$B$31,MATCH(E166,Stations!$A$2:$A$31,0)),0))</f>
        <v>1</v>
      </c>
      <c r="G166" s="16" t="n">
        <v>10</v>
      </c>
      <c r="H166" s="16" t="n">
        <v>0</v>
      </c>
      <c r="I166" s="16" t="n">
        <v>16</v>
      </c>
      <c r="J166" s="16" t="n">
        <v>60</v>
      </c>
      <c r="K166" s="14" t="s">
        <v>122</v>
      </c>
      <c r="L166" s="14" t="s">
        <v>147</v>
      </c>
      <c r="M166" s="14" t="s">
        <v>220</v>
      </c>
      <c r="N166" s="16" t="n">
        <v>4</v>
      </c>
      <c r="O166" s="16" t="s">
        <v>226</v>
      </c>
      <c r="P166" s="12" t="n">
        <f aca="false">INDEX(Scale!$B$16:$B$26,MATCH(K166,Scale!$A$16:$A$26,0))</f>
        <v>4</v>
      </c>
      <c r="Q166" s="15" t="n">
        <f aca="false">I166/3+J166/350</f>
        <v>5.50476190476191</v>
      </c>
      <c r="R166" s="15" t="n">
        <f aca="false">I166/4.2+J166/500</f>
        <v>3.92952380952381</v>
      </c>
      <c r="S166" s="15" t="n">
        <f aca="false">2*F166+2*G166/60+2*H166/60+Q166+1</f>
        <v>8.83809523809524</v>
      </c>
      <c r="T166" s="15" t="n">
        <f aca="false">I166+J166/100</f>
        <v>16.6</v>
      </c>
      <c r="U166" s="12" t="n">
        <f aca="false">INDEX(Scale!$B$3:$B$12,MATCH(T166,Scale!$A$3:$A$12,1))</f>
        <v>5</v>
      </c>
      <c r="V166" s="12" t="n">
        <f aca="false">INDEX(Scale!$B$30:$B$38,MATCH(L166,Scale!$A$30:$A$38,0))</f>
        <v>0</v>
      </c>
      <c r="W166" s="17" t="n">
        <f aca="false">MAX(U166,V166)</f>
        <v>5</v>
      </c>
      <c r="X166" s="12" t="n">
        <f aca="false">IF(W166&lt;=3,1,IF(W166&lt;=5,2,IF(W166&lt;=7,3,IF(W166&lt;=8,4,5))))</f>
        <v>2</v>
      </c>
      <c r="Y166" s="13" t="str">
        <f aca="false">IF(S166&lt;=13,"1 day",IF(S166&lt;=15,"1 long day","2 days"))</f>
        <v>1 day</v>
      </c>
      <c r="Z166" s="12" t="n">
        <f aca="false">ROUND(P166*130*Q166,-1)</f>
        <v>2860</v>
      </c>
      <c r="AA166" s="12" t="n">
        <f aca="false">ROUND(P166*120*Q166,-1)</f>
        <v>2640</v>
      </c>
      <c r="AB166" s="12" t="n">
        <f aca="false">ROUND(P166*110*Q166,-1)</f>
        <v>2420</v>
      </c>
      <c r="AC166" s="12" t="n">
        <f aca="false">ROUND(P166*100*Q166,-1)</f>
        <v>2200</v>
      </c>
      <c r="AD166" s="10" t="s">
        <v>572</v>
      </c>
      <c r="AE166" s="16"/>
      <c r="AF166" s="16"/>
      <c r="AG166" s="16"/>
    </row>
    <row r="167" customFormat="false" ht="15" hidden="false" customHeight="false" outlineLevel="0" collapsed="false">
      <c r="A167" s="12" t="n">
        <v>166</v>
      </c>
      <c r="B167" s="13" t="s">
        <v>568</v>
      </c>
      <c r="C167" s="10" t="s">
        <v>573</v>
      </c>
      <c r="D167" s="14" t="s">
        <v>54</v>
      </c>
      <c r="E167" s="14" t="s">
        <v>54</v>
      </c>
      <c r="F167" s="15" t="n">
        <f aca="false">MAX(IFERROR(INDEX(Stations!$B$2:$B$31,MATCH(D167,Stations!$A$2:$A$31,0)),0),IFERROR(INDEX(Stations!$B$2:$B$31,MATCH(E167,Stations!$A$2:$A$31,0)),0))</f>
        <v>0.4</v>
      </c>
      <c r="G167" s="16" t="n">
        <v>5</v>
      </c>
      <c r="H167" s="16" t="n">
        <v>0</v>
      </c>
      <c r="I167" s="16" t="n">
        <v>8</v>
      </c>
      <c r="J167" s="16" t="n">
        <v>20</v>
      </c>
      <c r="K167" s="14" t="s">
        <v>122</v>
      </c>
      <c r="L167" s="14" t="s">
        <v>147</v>
      </c>
      <c r="M167" s="14" t="s">
        <v>220</v>
      </c>
      <c r="N167" s="16" t="n">
        <v>3</v>
      </c>
      <c r="O167" s="16" t="s">
        <v>252</v>
      </c>
      <c r="P167" s="12" t="n">
        <f aca="false">INDEX(Scale!$B$16:$B$26,MATCH(K167,Scale!$A$16:$A$26,0))</f>
        <v>4</v>
      </c>
      <c r="Q167" s="15" t="n">
        <f aca="false">I167/3+J167/350</f>
        <v>2.72380952380952</v>
      </c>
      <c r="R167" s="15" t="n">
        <f aca="false">I167/4.2+J167/500</f>
        <v>1.9447619047619</v>
      </c>
      <c r="S167" s="15" t="n">
        <f aca="false">2*F167+2*G167/60+2*H167/60+Q167+1</f>
        <v>4.69047619047619</v>
      </c>
      <c r="T167" s="15" t="n">
        <f aca="false">I167+J167/100</f>
        <v>8.2</v>
      </c>
      <c r="U167" s="12" t="n">
        <f aca="false">INDEX(Scale!$B$3:$B$12,MATCH(T167,Scale!$A$3:$A$12,1))</f>
        <v>2</v>
      </c>
      <c r="V167" s="12" t="n">
        <f aca="false">INDEX(Scale!$B$30:$B$38,MATCH(L167,Scale!$A$30:$A$38,0))</f>
        <v>0</v>
      </c>
      <c r="W167" s="17" t="n">
        <f aca="false">MAX(U167,V167)</f>
        <v>2</v>
      </c>
      <c r="X167" s="12" t="n">
        <f aca="false">IF(W167&lt;=3,1,IF(W167&lt;=5,2,IF(W167&lt;=7,3,IF(W167&lt;=8,4,5))))</f>
        <v>1</v>
      </c>
      <c r="Y167" s="13" t="str">
        <f aca="false">IF(S167&lt;=13,"1 day",IF(S167&lt;=15,"1 long day","2 days"))</f>
        <v>1 day</v>
      </c>
      <c r="Z167" s="12" t="n">
        <f aca="false">ROUND(P167*130*Q167,-1)</f>
        <v>1420</v>
      </c>
      <c r="AA167" s="12" t="n">
        <f aca="false">ROUND(P167*120*Q167,-1)</f>
        <v>1310</v>
      </c>
      <c r="AB167" s="12" t="n">
        <f aca="false">ROUND(P167*110*Q167,-1)</f>
        <v>1200</v>
      </c>
      <c r="AC167" s="12" t="n">
        <f aca="false">ROUND(P167*100*Q167,-1)</f>
        <v>1090</v>
      </c>
      <c r="AD167" s="10" t="s">
        <v>574</v>
      </c>
      <c r="AE167" s="16"/>
      <c r="AF167" s="16"/>
      <c r="AG167" s="16"/>
    </row>
    <row r="168" customFormat="false" ht="15" hidden="false" customHeight="false" outlineLevel="0" collapsed="false">
      <c r="A168" s="12" t="n">
        <v>167</v>
      </c>
      <c r="B168" s="13" t="s">
        <v>568</v>
      </c>
      <c r="C168" s="10" t="s">
        <v>575</v>
      </c>
      <c r="D168" s="14" t="s">
        <v>57</v>
      </c>
      <c r="E168" s="14" t="s">
        <v>57</v>
      </c>
      <c r="F168" s="15" t="n">
        <f aca="false">MAX(IFERROR(INDEX(Stations!$B$2:$B$31,MATCH(D168,Stations!$A$2:$A$31,0)),0),IFERROR(INDEX(Stations!$B$2:$B$31,MATCH(E168,Stations!$A$2:$A$31,0)),0))</f>
        <v>0.6</v>
      </c>
      <c r="G168" s="16" t="n">
        <v>5</v>
      </c>
      <c r="H168" s="16" t="n">
        <v>0</v>
      </c>
      <c r="I168" s="16" t="n">
        <v>10</v>
      </c>
      <c r="J168" s="16" t="n">
        <v>30</v>
      </c>
      <c r="K168" s="14" t="s">
        <v>122</v>
      </c>
      <c r="L168" s="14" t="s">
        <v>147</v>
      </c>
      <c r="M168" s="14" t="s">
        <v>220</v>
      </c>
      <c r="N168" s="16" t="n">
        <v>4</v>
      </c>
      <c r="O168" s="16" t="s">
        <v>226</v>
      </c>
      <c r="P168" s="12" t="n">
        <f aca="false">INDEX(Scale!$B$16:$B$26,MATCH(K168,Scale!$A$16:$A$26,0))</f>
        <v>4</v>
      </c>
      <c r="Q168" s="15" t="n">
        <f aca="false">I168/3+J168/350</f>
        <v>3.41904761904762</v>
      </c>
      <c r="R168" s="15" t="n">
        <f aca="false">I168/4.2+J168/500</f>
        <v>2.44095238095238</v>
      </c>
      <c r="S168" s="15" t="n">
        <f aca="false">2*F168+2*G168/60+2*H168/60+Q168+1</f>
        <v>5.78571428571429</v>
      </c>
      <c r="T168" s="15" t="n">
        <f aca="false">I168+J168/100</f>
        <v>10.3</v>
      </c>
      <c r="U168" s="12" t="n">
        <f aca="false">INDEX(Scale!$B$3:$B$12,MATCH(T168,Scale!$A$3:$A$12,1))</f>
        <v>3</v>
      </c>
      <c r="V168" s="12" t="n">
        <f aca="false">INDEX(Scale!$B$30:$B$38,MATCH(L168,Scale!$A$30:$A$38,0))</f>
        <v>0</v>
      </c>
      <c r="W168" s="17" t="n">
        <f aca="false">MAX(U168,V168)</f>
        <v>3</v>
      </c>
      <c r="X168" s="12" t="n">
        <f aca="false">IF(W168&lt;=3,1,IF(W168&lt;=5,2,IF(W168&lt;=7,3,IF(W168&lt;=8,4,5))))</f>
        <v>1</v>
      </c>
      <c r="Y168" s="13" t="str">
        <f aca="false">IF(S168&lt;=13,"1 day",IF(S168&lt;=15,"1 long day","2 days"))</f>
        <v>1 day</v>
      </c>
      <c r="Z168" s="12" t="n">
        <f aca="false">ROUND(P168*130*Q168,-1)</f>
        <v>1780</v>
      </c>
      <c r="AA168" s="12" t="n">
        <f aca="false">ROUND(P168*120*Q168,-1)</f>
        <v>1640</v>
      </c>
      <c r="AB168" s="12" t="n">
        <f aca="false">ROUND(P168*110*Q168,-1)</f>
        <v>1500</v>
      </c>
      <c r="AC168" s="12" t="n">
        <f aca="false">ROUND(P168*100*Q168,-1)</f>
        <v>1370</v>
      </c>
      <c r="AD168" s="10" t="s">
        <v>576</v>
      </c>
      <c r="AE168" s="16"/>
      <c r="AF168" s="16"/>
      <c r="AG168" s="16"/>
    </row>
    <row r="169" customFormat="false" ht="15" hidden="false" customHeight="false" outlineLevel="0" collapsed="false">
      <c r="A169" s="12" t="n">
        <v>168</v>
      </c>
      <c r="B169" s="13" t="s">
        <v>218</v>
      </c>
      <c r="C169" s="10" t="s">
        <v>577</v>
      </c>
      <c r="D169" s="14" t="s">
        <v>65</v>
      </c>
      <c r="E169" s="14" t="s">
        <v>66</v>
      </c>
      <c r="F169" s="15" t="n">
        <f aca="false">MAX(IFERROR(INDEX(Stations!$B$2:$B$31,MATCH(D169,Stations!$A$2:$A$31,0)),0),IFERROR(INDEX(Stations!$B$2:$B$31,MATCH(E169,Stations!$A$2:$A$31,0)),0))</f>
        <v>1.8</v>
      </c>
      <c r="G169" s="16" t="n">
        <v>5</v>
      </c>
      <c r="H169" s="16" t="n">
        <v>0</v>
      </c>
      <c r="I169" s="16" t="n">
        <v>22</v>
      </c>
      <c r="J169" s="16" t="n">
        <v>1400</v>
      </c>
      <c r="K169" s="14" t="s">
        <v>128</v>
      </c>
      <c r="L169" s="14" t="s">
        <v>147</v>
      </c>
      <c r="M169" s="14" t="s">
        <v>286</v>
      </c>
      <c r="N169" s="16" t="n">
        <v>2</v>
      </c>
      <c r="O169" s="16" t="s">
        <v>226</v>
      </c>
      <c r="P169" s="12" t="n">
        <f aca="false">INDEX(Scale!$B$16:$B$26,MATCH(K169,Scale!$A$16:$A$26,0))</f>
        <v>6.3</v>
      </c>
      <c r="Q169" s="15" t="n">
        <f aca="false">I169/3+J169/350</f>
        <v>11.3333333333333</v>
      </c>
      <c r="R169" s="15" t="n">
        <f aca="false">I169/4.2+J169/500</f>
        <v>8.03809523809524</v>
      </c>
      <c r="S169" s="15" t="n">
        <f aca="false">2*F169+2*G169/60+2*H169/60+Q169+1</f>
        <v>16.1</v>
      </c>
      <c r="T169" s="15" t="n">
        <f aca="false">I169+J169/100</f>
        <v>36</v>
      </c>
      <c r="U169" s="12" t="n">
        <f aca="false">INDEX(Scale!$B$3:$B$12,MATCH(T169,Scale!$A$3:$A$12,1))</f>
        <v>8</v>
      </c>
      <c r="V169" s="12" t="n">
        <f aca="false">INDEX(Scale!$B$30:$B$38,MATCH(L169,Scale!$A$30:$A$38,0))</f>
        <v>0</v>
      </c>
      <c r="W169" s="17" t="n">
        <f aca="false">MAX(U169,V169)</f>
        <v>8</v>
      </c>
      <c r="X169" s="12" t="n">
        <f aca="false">IF(W169&lt;=3,1,IF(W169&lt;=5,2,IF(W169&lt;=7,3,IF(W169&lt;=8,4,5))))</f>
        <v>4</v>
      </c>
      <c r="Y169" s="13" t="str">
        <f aca="false">IF(S169&lt;=13,"1 day",IF(S169&lt;=15,"1 long day","2 days"))</f>
        <v>2 days</v>
      </c>
      <c r="Z169" s="12" t="n">
        <f aca="false">ROUND(P169*130*Q169,-1)</f>
        <v>9280</v>
      </c>
      <c r="AA169" s="12" t="n">
        <f aca="false">ROUND(P169*120*Q169,-1)</f>
        <v>8570</v>
      </c>
      <c r="AB169" s="12" t="n">
        <f aca="false">ROUND(P169*110*Q169,-1)</f>
        <v>7850</v>
      </c>
      <c r="AC169" s="12" t="n">
        <f aca="false">ROUND(P169*100*Q169,-1)</f>
        <v>7140</v>
      </c>
      <c r="AD169" s="10" t="s">
        <v>578</v>
      </c>
      <c r="AE169" s="16"/>
      <c r="AF169" s="16"/>
      <c r="AG169" s="16"/>
    </row>
    <row r="170" customFormat="false" ht="15" hidden="false" customHeight="false" outlineLevel="0" collapsed="false">
      <c r="A170" s="12" t="n">
        <v>169</v>
      </c>
      <c r="B170" s="13" t="s">
        <v>218</v>
      </c>
      <c r="C170" s="10" t="s">
        <v>579</v>
      </c>
      <c r="D170" s="14" t="s">
        <v>66</v>
      </c>
      <c r="E170" s="14" t="s">
        <v>100</v>
      </c>
      <c r="F170" s="15" t="n">
        <f aca="false">MAX(IFERROR(INDEX(Stations!$B$2:$B$31,MATCH(D170,Stations!$A$2:$A$31,0)),0),IFERROR(INDEX(Stations!$B$2:$B$31,MATCH(E170,Stations!$A$2:$A$31,0)),0))</f>
        <v>2.9</v>
      </c>
      <c r="G170" s="16" t="n">
        <v>10</v>
      </c>
      <c r="H170" s="16" t="n">
        <v>50</v>
      </c>
      <c r="I170" s="16" t="n">
        <v>18</v>
      </c>
      <c r="J170" s="16" t="n">
        <v>1400</v>
      </c>
      <c r="K170" s="14" t="s">
        <v>130</v>
      </c>
      <c r="L170" s="14" t="s">
        <v>136</v>
      </c>
      <c r="M170" s="14" t="s">
        <v>286</v>
      </c>
      <c r="N170" s="16" t="n">
        <v>3</v>
      </c>
      <c r="O170" s="16" t="s">
        <v>252</v>
      </c>
      <c r="P170" s="12" t="n">
        <f aca="false">INDEX(Scale!$B$16:$B$26,MATCH(K170,Scale!$A$16:$A$26,0))</f>
        <v>7</v>
      </c>
      <c r="Q170" s="15" t="n">
        <f aca="false">I170/3+J170/350</f>
        <v>10</v>
      </c>
      <c r="R170" s="15" t="n">
        <f aca="false">I170/4.2+J170/500</f>
        <v>7.08571428571429</v>
      </c>
      <c r="S170" s="15" t="n">
        <f aca="false">2*F170+2*G170/60+2*H170/60+Q170+1</f>
        <v>18.8</v>
      </c>
      <c r="T170" s="15" t="n">
        <f aca="false">I170+J170/100</f>
        <v>32</v>
      </c>
      <c r="U170" s="12" t="n">
        <f aca="false">INDEX(Scale!$B$3:$B$12,MATCH(T170,Scale!$A$3:$A$12,1))</f>
        <v>7</v>
      </c>
      <c r="V170" s="12" t="n">
        <f aca="false">INDEX(Scale!$B$30:$B$38,MATCH(L170,Scale!$A$30:$A$38,0))</f>
        <v>5</v>
      </c>
      <c r="W170" s="17" t="n">
        <f aca="false">MAX(U170,V170)</f>
        <v>7</v>
      </c>
      <c r="X170" s="12" t="n">
        <f aca="false">IF(W170&lt;=3,1,IF(W170&lt;=5,2,IF(W170&lt;=7,3,IF(W170&lt;=8,4,5))))</f>
        <v>3</v>
      </c>
      <c r="Y170" s="13" t="str">
        <f aca="false">IF(S170&lt;=13,"1 day",IF(S170&lt;=15,"1 long day","2 days"))</f>
        <v>2 days</v>
      </c>
      <c r="Z170" s="12" t="n">
        <f aca="false">ROUND(P170*130*Q170,-1)</f>
        <v>9100</v>
      </c>
      <c r="AA170" s="12" t="n">
        <f aca="false">ROUND(P170*120*Q170,-1)</f>
        <v>8400</v>
      </c>
      <c r="AB170" s="12" t="n">
        <f aca="false">ROUND(P170*110*Q170,-1)</f>
        <v>7700</v>
      </c>
      <c r="AC170" s="12" t="n">
        <f aca="false">ROUND(P170*100*Q170,-1)</f>
        <v>7000</v>
      </c>
      <c r="AD170" s="10" t="s">
        <v>580</v>
      </c>
      <c r="AE170" s="16"/>
      <c r="AF170" s="16"/>
      <c r="AG170" s="16"/>
    </row>
    <row r="171" customFormat="false" ht="15" hidden="false" customHeight="false" outlineLevel="0" collapsed="false">
      <c r="A171" s="12" t="n">
        <v>170</v>
      </c>
      <c r="B171" s="13" t="s">
        <v>218</v>
      </c>
      <c r="C171" s="10" t="s">
        <v>581</v>
      </c>
      <c r="D171" s="14" t="s">
        <v>66</v>
      </c>
      <c r="E171" s="14" t="s">
        <v>81</v>
      </c>
      <c r="F171" s="15" t="n">
        <f aca="false">MAX(IFERROR(INDEX(Stations!$B$2:$B$31,MATCH(D171,Stations!$A$2:$A$31,0)),0),IFERROR(INDEX(Stations!$B$2:$B$31,MATCH(E171,Stations!$A$2:$A$31,0)),0))</f>
        <v>3.1</v>
      </c>
      <c r="G171" s="16" t="n">
        <v>25</v>
      </c>
      <c r="H171" s="16" t="n">
        <v>0</v>
      </c>
      <c r="I171" s="16" t="n">
        <v>20</v>
      </c>
      <c r="J171" s="16" t="n">
        <v>1200</v>
      </c>
      <c r="K171" s="14" t="s">
        <v>128</v>
      </c>
      <c r="L171" s="14" t="s">
        <v>147</v>
      </c>
      <c r="M171" s="14" t="s">
        <v>286</v>
      </c>
      <c r="N171" s="16" t="n">
        <v>3</v>
      </c>
      <c r="O171" s="16" t="s">
        <v>226</v>
      </c>
      <c r="P171" s="12" t="n">
        <f aca="false">INDEX(Scale!$B$16:$B$26,MATCH(K171,Scale!$A$16:$A$26,0))</f>
        <v>6.3</v>
      </c>
      <c r="Q171" s="15" t="n">
        <f aca="false">I171/3+J171/350</f>
        <v>10.0952380952381</v>
      </c>
      <c r="R171" s="15" t="n">
        <f aca="false">I171/4.2+J171/500</f>
        <v>7.16190476190476</v>
      </c>
      <c r="S171" s="15" t="n">
        <f aca="false">2*F171+2*G171/60+2*H171/60+Q171+1</f>
        <v>18.1285714285714</v>
      </c>
      <c r="T171" s="15" t="n">
        <f aca="false">I171+J171/100</f>
        <v>32</v>
      </c>
      <c r="U171" s="12" t="n">
        <f aca="false">INDEX(Scale!$B$3:$B$12,MATCH(T171,Scale!$A$3:$A$12,1))</f>
        <v>7</v>
      </c>
      <c r="V171" s="12" t="n">
        <f aca="false">INDEX(Scale!$B$30:$B$38,MATCH(L171,Scale!$A$30:$A$38,0))</f>
        <v>0</v>
      </c>
      <c r="W171" s="17" t="n">
        <f aca="false">MAX(U171,V171)</f>
        <v>7</v>
      </c>
      <c r="X171" s="12" t="n">
        <f aca="false">IF(W171&lt;=3,1,IF(W171&lt;=5,2,IF(W171&lt;=7,3,IF(W171&lt;=8,4,5))))</f>
        <v>3</v>
      </c>
      <c r="Y171" s="13" t="str">
        <f aca="false">IF(S171&lt;=13,"1 day",IF(S171&lt;=15,"1 long day","2 days"))</f>
        <v>2 days</v>
      </c>
      <c r="Z171" s="12" t="n">
        <f aca="false">ROUND(P171*130*Q171,-1)</f>
        <v>8270</v>
      </c>
      <c r="AA171" s="12" t="n">
        <f aca="false">ROUND(P171*120*Q171,-1)</f>
        <v>7630</v>
      </c>
      <c r="AB171" s="12" t="n">
        <f aca="false">ROUND(P171*110*Q171,-1)</f>
        <v>7000</v>
      </c>
      <c r="AC171" s="12" t="n">
        <f aca="false">ROUND(P171*100*Q171,-1)</f>
        <v>6360</v>
      </c>
      <c r="AD171" s="10" t="s">
        <v>582</v>
      </c>
      <c r="AE171" s="16"/>
      <c r="AF171" s="16"/>
      <c r="AG171" s="16"/>
    </row>
    <row r="172" customFormat="false" ht="15" hidden="false" customHeight="false" outlineLevel="0" collapsed="false">
      <c r="A172" s="12" t="n">
        <v>171</v>
      </c>
      <c r="B172" s="13" t="s">
        <v>266</v>
      </c>
      <c r="C172" s="10" t="s">
        <v>583</v>
      </c>
      <c r="D172" s="14" t="s">
        <v>67</v>
      </c>
      <c r="E172" s="14" t="s">
        <v>68</v>
      </c>
      <c r="F172" s="15" t="n">
        <f aca="false">MAX(IFERROR(INDEX(Stations!$B$2:$B$31,MATCH(D172,Stations!$A$2:$A$31,0)),0),IFERROR(INDEX(Stations!$B$2:$B$31,MATCH(E172,Stations!$A$2:$A$31,0)),0))</f>
        <v>2</v>
      </c>
      <c r="G172" s="16" t="n">
        <v>10</v>
      </c>
      <c r="H172" s="16" t="n">
        <v>0</v>
      </c>
      <c r="I172" s="16" t="n">
        <v>14</v>
      </c>
      <c r="J172" s="16" t="n">
        <v>800</v>
      </c>
      <c r="K172" s="14" t="s">
        <v>128</v>
      </c>
      <c r="L172" s="14" t="s">
        <v>147</v>
      </c>
      <c r="M172" s="14" t="s">
        <v>231</v>
      </c>
      <c r="N172" s="16" t="n">
        <v>4</v>
      </c>
      <c r="O172" s="16" t="s">
        <v>226</v>
      </c>
      <c r="P172" s="12" t="n">
        <f aca="false">INDEX(Scale!$B$16:$B$26,MATCH(K172,Scale!$A$16:$A$26,0))</f>
        <v>6.3</v>
      </c>
      <c r="Q172" s="15" t="n">
        <f aca="false">I172/3+J172/350</f>
        <v>6.95238095238095</v>
      </c>
      <c r="R172" s="15" t="n">
        <f aca="false">I172/4.2+J172/500</f>
        <v>4.93333333333333</v>
      </c>
      <c r="S172" s="15" t="n">
        <f aca="false">2*F172+2*G172/60+2*H172/60+Q172+1</f>
        <v>12.2857142857143</v>
      </c>
      <c r="T172" s="15" t="n">
        <f aca="false">I172+J172/100</f>
        <v>22</v>
      </c>
      <c r="U172" s="12" t="n">
        <f aca="false">INDEX(Scale!$B$3:$B$12,MATCH(T172,Scale!$A$3:$A$12,1))</f>
        <v>6</v>
      </c>
      <c r="V172" s="12" t="n">
        <f aca="false">INDEX(Scale!$B$30:$B$38,MATCH(L172,Scale!$A$30:$A$38,0))</f>
        <v>0</v>
      </c>
      <c r="W172" s="17" t="n">
        <f aca="false">MAX(U172,V172)</f>
        <v>6</v>
      </c>
      <c r="X172" s="12" t="n">
        <f aca="false">IF(W172&lt;=3,1,IF(W172&lt;=5,2,IF(W172&lt;=7,3,IF(W172&lt;=8,4,5))))</f>
        <v>3</v>
      </c>
      <c r="Y172" s="13" t="str">
        <f aca="false">IF(S172&lt;=13,"1 day",IF(S172&lt;=15,"1 long day","2 days"))</f>
        <v>1 day</v>
      </c>
      <c r="Z172" s="12" t="n">
        <f aca="false">ROUND(P172*130*Q172,-1)</f>
        <v>5690</v>
      </c>
      <c r="AA172" s="12" t="n">
        <f aca="false">ROUND(P172*120*Q172,-1)</f>
        <v>5260</v>
      </c>
      <c r="AB172" s="12" t="n">
        <f aca="false">ROUND(P172*110*Q172,-1)</f>
        <v>4820</v>
      </c>
      <c r="AC172" s="12" t="n">
        <f aca="false">ROUND(P172*100*Q172,-1)</f>
        <v>4380</v>
      </c>
      <c r="AD172" s="10" t="s">
        <v>584</v>
      </c>
      <c r="AE172" s="16"/>
      <c r="AF172" s="16"/>
      <c r="AG172" s="16"/>
    </row>
    <row r="173" customFormat="false" ht="15" hidden="false" customHeight="false" outlineLevel="0" collapsed="false">
      <c r="A173" s="12" t="n">
        <v>172</v>
      </c>
      <c r="B173" s="13" t="s">
        <v>266</v>
      </c>
      <c r="C173" s="10" t="s">
        <v>585</v>
      </c>
      <c r="D173" s="14" t="s">
        <v>68</v>
      </c>
      <c r="E173" s="14" t="s">
        <v>67</v>
      </c>
      <c r="F173" s="15" t="n">
        <f aca="false">MAX(IFERROR(INDEX(Stations!$B$2:$B$31,MATCH(D173,Stations!$A$2:$A$31,0)),0),IFERROR(INDEX(Stations!$B$2:$B$31,MATCH(E173,Stations!$A$2:$A$31,0)),0))</f>
        <v>2</v>
      </c>
      <c r="G173" s="16" t="n">
        <v>10</v>
      </c>
      <c r="H173" s="16" t="n">
        <v>0</v>
      </c>
      <c r="I173" s="16" t="n">
        <v>19</v>
      </c>
      <c r="J173" s="16" t="n">
        <v>1000</v>
      </c>
      <c r="K173" s="14" t="s">
        <v>128</v>
      </c>
      <c r="L173" s="14" t="s">
        <v>147</v>
      </c>
      <c r="M173" s="14" t="s">
        <v>239</v>
      </c>
      <c r="N173" s="16" t="n">
        <v>5</v>
      </c>
      <c r="O173" s="16" t="s">
        <v>226</v>
      </c>
      <c r="P173" s="12" t="n">
        <f aca="false">INDEX(Scale!$B$16:$B$26,MATCH(K173,Scale!$A$16:$A$26,0))</f>
        <v>6.3</v>
      </c>
      <c r="Q173" s="15" t="n">
        <f aca="false">I173/3+J173/350</f>
        <v>9.19047619047619</v>
      </c>
      <c r="R173" s="15" t="n">
        <f aca="false">I173/4.2+J173/500</f>
        <v>6.52380952380952</v>
      </c>
      <c r="S173" s="15" t="n">
        <f aca="false">2*F173+2*G173/60+2*H173/60+Q173+1</f>
        <v>14.5238095238095</v>
      </c>
      <c r="T173" s="15" t="n">
        <f aca="false">I173+J173/100</f>
        <v>29</v>
      </c>
      <c r="U173" s="12" t="n">
        <f aca="false">INDEX(Scale!$B$3:$B$12,MATCH(T173,Scale!$A$3:$A$12,1))</f>
        <v>7</v>
      </c>
      <c r="V173" s="12" t="n">
        <f aca="false">INDEX(Scale!$B$30:$B$38,MATCH(L173,Scale!$A$30:$A$38,0))</f>
        <v>0</v>
      </c>
      <c r="W173" s="17" t="n">
        <f aca="false">MAX(U173,V173)</f>
        <v>7</v>
      </c>
      <c r="X173" s="12" t="n">
        <f aca="false">IF(W173&lt;=3,1,IF(W173&lt;=5,2,IF(W173&lt;=7,3,IF(W173&lt;=8,4,5))))</f>
        <v>3</v>
      </c>
      <c r="Y173" s="13" t="str">
        <f aca="false">IF(S173&lt;=13,"1 day",IF(S173&lt;=15,"1 long day","2 days"))</f>
        <v>1 long day</v>
      </c>
      <c r="Z173" s="12" t="n">
        <f aca="false">ROUND(P173*130*Q173,-1)</f>
        <v>7530</v>
      </c>
      <c r="AA173" s="12" t="n">
        <f aca="false">ROUND(P173*120*Q173,-1)</f>
        <v>6950</v>
      </c>
      <c r="AB173" s="12" t="n">
        <f aca="false">ROUND(P173*110*Q173,-1)</f>
        <v>6370</v>
      </c>
      <c r="AC173" s="12" t="n">
        <f aca="false">ROUND(P173*100*Q173,-1)</f>
        <v>5790</v>
      </c>
      <c r="AD173" s="10" t="s">
        <v>586</v>
      </c>
      <c r="AE173" s="16"/>
      <c r="AF173" s="16"/>
      <c r="AG173" s="16"/>
    </row>
    <row r="174" customFormat="false" ht="15" hidden="false" customHeight="false" outlineLevel="0" collapsed="false">
      <c r="A174" s="12" t="n">
        <v>173</v>
      </c>
      <c r="B174" s="13" t="s">
        <v>218</v>
      </c>
      <c r="C174" s="10" t="s">
        <v>587</v>
      </c>
      <c r="D174" s="14" t="s">
        <v>65</v>
      </c>
      <c r="E174" s="14" t="s">
        <v>65</v>
      </c>
      <c r="F174" s="15" t="n">
        <f aca="false">MAX(IFERROR(INDEX(Stations!$B$2:$B$31,MATCH(D174,Stations!$A$2:$A$31,0)),0),IFERROR(INDEX(Stations!$B$2:$B$31,MATCH(E174,Stations!$A$2:$A$31,0)),0))</f>
        <v>1.6</v>
      </c>
      <c r="G174" s="16" t="n">
        <v>20</v>
      </c>
      <c r="H174" s="16" t="n">
        <v>0</v>
      </c>
      <c r="I174" s="16" t="n">
        <v>17</v>
      </c>
      <c r="J174" s="16" t="n">
        <v>1200</v>
      </c>
      <c r="K174" s="14" t="s">
        <v>128</v>
      </c>
      <c r="L174" s="14" t="s">
        <v>149</v>
      </c>
      <c r="M174" s="14" t="s">
        <v>286</v>
      </c>
      <c r="N174" s="16" t="n">
        <v>4</v>
      </c>
      <c r="O174" s="16" t="s">
        <v>226</v>
      </c>
      <c r="P174" s="12" t="n">
        <f aca="false">INDEX(Scale!$B$16:$B$26,MATCH(K174,Scale!$A$16:$A$26,0))</f>
        <v>6.3</v>
      </c>
      <c r="Q174" s="15" t="n">
        <f aca="false">I174/3+J174/350</f>
        <v>9.0952380952381</v>
      </c>
      <c r="R174" s="15" t="n">
        <f aca="false">I174/4.2+J174/500</f>
        <v>6.44761904761905</v>
      </c>
      <c r="S174" s="15" t="n">
        <f aca="false">2*F174+2*G174/60+2*H174/60+Q174+1</f>
        <v>13.9619047619048</v>
      </c>
      <c r="T174" s="15" t="n">
        <f aca="false">I174+J174/100</f>
        <v>29</v>
      </c>
      <c r="U174" s="12" t="n">
        <f aca="false">INDEX(Scale!$B$3:$B$12,MATCH(T174,Scale!$A$3:$A$12,1))</f>
        <v>7</v>
      </c>
      <c r="V174" s="12" t="n">
        <f aca="false">INDEX(Scale!$B$30:$B$38,MATCH(L174,Scale!$A$30:$A$38,0))</f>
        <v>3</v>
      </c>
      <c r="W174" s="17" t="n">
        <f aca="false">MAX(U174,V174)</f>
        <v>7</v>
      </c>
      <c r="X174" s="12" t="n">
        <f aca="false">IF(W174&lt;=3,1,IF(W174&lt;=5,2,IF(W174&lt;=7,3,IF(W174&lt;=8,4,5))))</f>
        <v>3</v>
      </c>
      <c r="Y174" s="13" t="str">
        <f aca="false">IF(S174&lt;=13,"1 day",IF(S174&lt;=15,"1 long day","2 days"))</f>
        <v>1 long day</v>
      </c>
      <c r="Z174" s="12" t="n">
        <f aca="false">ROUND(P174*130*Q174,-1)</f>
        <v>7450</v>
      </c>
      <c r="AA174" s="12" t="n">
        <f aca="false">ROUND(P174*120*Q174,-1)</f>
        <v>6880</v>
      </c>
      <c r="AB174" s="12" t="n">
        <f aca="false">ROUND(P174*110*Q174,-1)</f>
        <v>6300</v>
      </c>
      <c r="AC174" s="12" t="n">
        <f aca="false">ROUND(P174*100*Q174,-1)</f>
        <v>5730</v>
      </c>
      <c r="AD174" s="10" t="s">
        <v>588</v>
      </c>
      <c r="AE174" s="16"/>
      <c r="AF174" s="16"/>
      <c r="AG174" s="16"/>
    </row>
    <row r="175" customFormat="false" ht="15" hidden="false" customHeight="false" outlineLevel="0" collapsed="false">
      <c r="A175" s="12" t="n">
        <v>174</v>
      </c>
      <c r="B175" s="13" t="s">
        <v>218</v>
      </c>
      <c r="C175" s="10" t="s">
        <v>589</v>
      </c>
      <c r="D175" s="14" t="s">
        <v>66</v>
      </c>
      <c r="E175" s="14" t="s">
        <v>66</v>
      </c>
      <c r="F175" s="15" t="n">
        <f aca="false">MAX(IFERROR(INDEX(Stations!$B$2:$B$31,MATCH(D175,Stations!$A$2:$A$31,0)),0),IFERROR(INDEX(Stations!$B$2:$B$31,MATCH(E175,Stations!$A$2:$A$31,0)),0))</f>
        <v>1.8</v>
      </c>
      <c r="G175" s="16" t="n">
        <v>20</v>
      </c>
      <c r="H175" s="16" t="n">
        <v>0</v>
      </c>
      <c r="I175" s="16" t="n">
        <v>13</v>
      </c>
      <c r="J175" s="16" t="n">
        <v>1300</v>
      </c>
      <c r="K175" s="14" t="s">
        <v>130</v>
      </c>
      <c r="L175" s="14" t="s">
        <v>149</v>
      </c>
      <c r="M175" s="14" t="s">
        <v>286</v>
      </c>
      <c r="N175" s="16" t="n">
        <v>3</v>
      </c>
      <c r="O175" s="16" t="s">
        <v>226</v>
      </c>
      <c r="P175" s="12" t="n">
        <f aca="false">INDEX(Scale!$B$16:$B$26,MATCH(K175,Scale!$A$16:$A$26,0))</f>
        <v>7</v>
      </c>
      <c r="Q175" s="15" t="n">
        <f aca="false">I175/3+J175/350</f>
        <v>8.04761904761905</v>
      </c>
      <c r="R175" s="15" t="n">
        <f aca="false">I175/4.2+J175/500</f>
        <v>5.69523809523809</v>
      </c>
      <c r="S175" s="15" t="n">
        <f aca="false">2*F175+2*G175/60+2*H175/60+Q175+1</f>
        <v>13.3142857142857</v>
      </c>
      <c r="T175" s="15" t="n">
        <f aca="false">I175+J175/100</f>
        <v>26</v>
      </c>
      <c r="U175" s="12" t="n">
        <f aca="false">INDEX(Scale!$B$3:$B$12,MATCH(T175,Scale!$A$3:$A$12,1))</f>
        <v>6</v>
      </c>
      <c r="V175" s="12" t="n">
        <f aca="false">INDEX(Scale!$B$30:$B$38,MATCH(L175,Scale!$A$30:$A$38,0))</f>
        <v>3</v>
      </c>
      <c r="W175" s="17" t="n">
        <f aca="false">MAX(U175,V175)</f>
        <v>6</v>
      </c>
      <c r="X175" s="12" t="n">
        <f aca="false">IF(W175&lt;=3,1,IF(W175&lt;=5,2,IF(W175&lt;=7,3,IF(W175&lt;=8,4,5))))</f>
        <v>3</v>
      </c>
      <c r="Y175" s="13" t="str">
        <f aca="false">IF(S175&lt;=13,"1 day",IF(S175&lt;=15,"1 long day","2 days"))</f>
        <v>1 long day</v>
      </c>
      <c r="Z175" s="12" t="n">
        <f aca="false">ROUND(P175*130*Q175,-1)</f>
        <v>7320</v>
      </c>
      <c r="AA175" s="12" t="n">
        <f aca="false">ROUND(P175*120*Q175,-1)</f>
        <v>6760</v>
      </c>
      <c r="AB175" s="12" t="n">
        <f aca="false">ROUND(P175*110*Q175,-1)</f>
        <v>6200</v>
      </c>
      <c r="AC175" s="12" t="n">
        <f aca="false">ROUND(P175*100*Q175,-1)</f>
        <v>5630</v>
      </c>
      <c r="AD175" s="10" t="s">
        <v>590</v>
      </c>
      <c r="AE175" s="16"/>
      <c r="AF175" s="16"/>
      <c r="AG175" s="16"/>
    </row>
    <row r="176" customFormat="false" ht="15" hidden="false" customHeight="false" outlineLevel="0" collapsed="false">
      <c r="A176" s="12" t="n">
        <v>175</v>
      </c>
      <c r="B176" s="13" t="s">
        <v>371</v>
      </c>
      <c r="C176" s="10" t="s">
        <v>591</v>
      </c>
      <c r="D176" s="14" t="s">
        <v>69</v>
      </c>
      <c r="E176" s="14" t="s">
        <v>69</v>
      </c>
      <c r="F176" s="15" t="n">
        <f aca="false">MAX(IFERROR(INDEX(Stations!$B$2:$B$31,MATCH(D176,Stations!$A$2:$A$31,0)),0),IFERROR(INDEX(Stations!$B$2:$B$31,MATCH(E176,Stations!$A$2:$A$31,0)),0))</f>
        <v>2.2</v>
      </c>
      <c r="G176" s="16" t="n">
        <v>25</v>
      </c>
      <c r="H176" s="16" t="n">
        <v>0</v>
      </c>
      <c r="I176" s="16" t="n">
        <v>16</v>
      </c>
      <c r="J176" s="16" t="n">
        <v>1000</v>
      </c>
      <c r="K176" s="14" t="s">
        <v>130</v>
      </c>
      <c r="L176" s="14" t="s">
        <v>134</v>
      </c>
      <c r="M176" s="14" t="s">
        <v>239</v>
      </c>
      <c r="N176" s="16" t="n">
        <v>3</v>
      </c>
      <c r="O176" s="16" t="s">
        <v>226</v>
      </c>
      <c r="P176" s="12" t="n">
        <f aca="false">INDEX(Scale!$B$16:$B$26,MATCH(K176,Scale!$A$16:$A$26,0))</f>
        <v>7</v>
      </c>
      <c r="Q176" s="15" t="n">
        <f aca="false">I176/3+J176/350</f>
        <v>8.19047619047619</v>
      </c>
      <c r="R176" s="15" t="n">
        <f aca="false">I176/4.2+J176/500</f>
        <v>5.80952380952381</v>
      </c>
      <c r="S176" s="15" t="n">
        <f aca="false">2*F176+2*G176/60+2*H176/60+Q176+1</f>
        <v>14.4238095238095</v>
      </c>
      <c r="T176" s="15" t="n">
        <f aca="false">I176+J176/100</f>
        <v>26</v>
      </c>
      <c r="U176" s="12" t="n">
        <f aca="false">INDEX(Scale!$B$3:$B$12,MATCH(T176,Scale!$A$3:$A$12,1))</f>
        <v>6</v>
      </c>
      <c r="V176" s="12" t="n">
        <f aca="false">INDEX(Scale!$B$30:$B$38,MATCH(L176,Scale!$A$30:$A$38,0))</f>
        <v>4</v>
      </c>
      <c r="W176" s="17" t="n">
        <f aca="false">MAX(U176,V176)</f>
        <v>6</v>
      </c>
      <c r="X176" s="12" t="n">
        <f aca="false">IF(W176&lt;=3,1,IF(W176&lt;=5,2,IF(W176&lt;=7,3,IF(W176&lt;=8,4,5))))</f>
        <v>3</v>
      </c>
      <c r="Y176" s="13" t="str">
        <f aca="false">IF(S176&lt;=13,"1 day",IF(S176&lt;=15,"1 long day","2 days"))</f>
        <v>1 long day</v>
      </c>
      <c r="Z176" s="12" t="n">
        <f aca="false">ROUND(P176*130*Q176,-1)</f>
        <v>7450</v>
      </c>
      <c r="AA176" s="12" t="n">
        <f aca="false">ROUND(P176*120*Q176,-1)</f>
        <v>6880</v>
      </c>
      <c r="AB176" s="12" t="n">
        <f aca="false">ROUND(P176*110*Q176,-1)</f>
        <v>6310</v>
      </c>
      <c r="AC176" s="12" t="n">
        <f aca="false">ROUND(P176*100*Q176,-1)</f>
        <v>5730</v>
      </c>
      <c r="AD176" s="10" t="s">
        <v>592</v>
      </c>
      <c r="AE176" s="16"/>
      <c r="AF176" s="16"/>
      <c r="AG176" s="16"/>
    </row>
    <row r="177" customFormat="false" ht="15" hidden="false" customHeight="false" outlineLevel="0" collapsed="false">
      <c r="A177" s="12" t="n">
        <v>176</v>
      </c>
      <c r="B177" s="13" t="s">
        <v>388</v>
      </c>
      <c r="C177" s="10" t="s">
        <v>593</v>
      </c>
      <c r="D177" s="14" t="s">
        <v>72</v>
      </c>
      <c r="E177" s="14" t="s">
        <v>81</v>
      </c>
      <c r="F177" s="15" t="n">
        <f aca="false">MAX(IFERROR(INDEX(Stations!$B$2:$B$31,MATCH(D177,Stations!$A$2:$A$31,0)),0),IFERROR(INDEX(Stations!$B$2:$B$31,MATCH(E177,Stations!$A$2:$A$31,0)),0))</f>
        <v>3.1</v>
      </c>
      <c r="G177" s="16" t="n">
        <v>25</v>
      </c>
      <c r="H177" s="16" t="n">
        <v>0</v>
      </c>
      <c r="I177" s="16" t="n">
        <v>18</v>
      </c>
      <c r="J177" s="16" t="n">
        <v>900</v>
      </c>
      <c r="K177" s="14" t="s">
        <v>128</v>
      </c>
      <c r="L177" s="14" t="s">
        <v>149</v>
      </c>
      <c r="M177" s="14" t="s">
        <v>239</v>
      </c>
      <c r="N177" s="16" t="n">
        <v>3</v>
      </c>
      <c r="O177" s="16" t="s">
        <v>226</v>
      </c>
      <c r="P177" s="12" t="n">
        <f aca="false">INDEX(Scale!$B$16:$B$26,MATCH(K177,Scale!$A$16:$A$26,0))</f>
        <v>6.3</v>
      </c>
      <c r="Q177" s="15" t="n">
        <f aca="false">I177/3+J177/350</f>
        <v>8.57142857142857</v>
      </c>
      <c r="R177" s="15" t="n">
        <f aca="false">I177/4.2+J177/500</f>
        <v>6.08571428571429</v>
      </c>
      <c r="S177" s="15" t="n">
        <f aca="false">2*F177+2*G177/60+2*H177/60+Q177+1</f>
        <v>16.6047619047619</v>
      </c>
      <c r="T177" s="15" t="n">
        <f aca="false">I177+J177/100</f>
        <v>27</v>
      </c>
      <c r="U177" s="12" t="n">
        <f aca="false">INDEX(Scale!$B$3:$B$12,MATCH(T177,Scale!$A$3:$A$12,1))</f>
        <v>7</v>
      </c>
      <c r="V177" s="12" t="n">
        <f aca="false">INDEX(Scale!$B$30:$B$38,MATCH(L177,Scale!$A$30:$A$38,0))</f>
        <v>3</v>
      </c>
      <c r="W177" s="17" t="n">
        <f aca="false">MAX(U177,V177)</f>
        <v>7</v>
      </c>
      <c r="X177" s="12" t="n">
        <f aca="false">IF(W177&lt;=3,1,IF(W177&lt;=5,2,IF(W177&lt;=7,3,IF(W177&lt;=8,4,5))))</f>
        <v>3</v>
      </c>
      <c r="Y177" s="13" t="str">
        <f aca="false">IF(S177&lt;=13,"1 day",IF(S177&lt;=15,"1 long day","2 days"))</f>
        <v>2 days</v>
      </c>
      <c r="Z177" s="12" t="n">
        <f aca="false">ROUND(P177*130*Q177,-1)</f>
        <v>7020</v>
      </c>
      <c r="AA177" s="12" t="n">
        <f aca="false">ROUND(P177*120*Q177,-1)</f>
        <v>6480</v>
      </c>
      <c r="AB177" s="12" t="n">
        <f aca="false">ROUND(P177*110*Q177,-1)</f>
        <v>5940</v>
      </c>
      <c r="AC177" s="12" t="n">
        <f aca="false">ROUND(P177*100*Q177,-1)</f>
        <v>5400</v>
      </c>
      <c r="AD177" s="10" t="s">
        <v>594</v>
      </c>
      <c r="AE177" s="16"/>
      <c r="AF177" s="16"/>
      <c r="AG177" s="16"/>
    </row>
    <row r="178" customFormat="false" ht="15" hidden="false" customHeight="false" outlineLevel="0" collapsed="false">
      <c r="A178" s="12" t="n">
        <v>177</v>
      </c>
      <c r="B178" s="13" t="s">
        <v>439</v>
      </c>
      <c r="C178" s="10" t="s">
        <v>595</v>
      </c>
      <c r="D178" s="14" t="s">
        <v>83</v>
      </c>
      <c r="E178" s="14" t="s">
        <v>83</v>
      </c>
      <c r="F178" s="15" t="n">
        <f aca="false">MAX(IFERROR(INDEX(Stations!$B$2:$B$31,MATCH(D178,Stations!$A$2:$A$31,0)),0),IFERROR(INDEX(Stations!$B$2:$B$31,MATCH(E178,Stations!$A$2:$A$31,0)),0))</f>
        <v>3.4</v>
      </c>
      <c r="G178" s="16" t="n">
        <v>40</v>
      </c>
      <c r="H178" s="16" t="n">
        <v>0</v>
      </c>
      <c r="I178" s="16" t="n">
        <v>19</v>
      </c>
      <c r="J178" s="16" t="n">
        <v>1100</v>
      </c>
      <c r="K178" s="14" t="s">
        <v>130</v>
      </c>
      <c r="L178" s="14" t="s">
        <v>136</v>
      </c>
      <c r="M178" s="14" t="s">
        <v>239</v>
      </c>
      <c r="N178" s="16" t="n">
        <v>3</v>
      </c>
      <c r="O178" s="16" t="s">
        <v>226</v>
      </c>
      <c r="P178" s="12" t="n">
        <f aca="false">INDEX(Scale!$B$16:$B$26,MATCH(K178,Scale!$A$16:$A$26,0))</f>
        <v>7</v>
      </c>
      <c r="Q178" s="15" t="n">
        <f aca="false">I178/3+J178/350</f>
        <v>9.47619047619048</v>
      </c>
      <c r="R178" s="15" t="n">
        <f aca="false">I178/4.2+J178/500</f>
        <v>6.72380952380952</v>
      </c>
      <c r="S178" s="15" t="n">
        <f aca="false">2*F178+2*G178/60+2*H178/60+Q178+1</f>
        <v>18.6095238095238</v>
      </c>
      <c r="T178" s="15" t="n">
        <f aca="false">I178+J178/100</f>
        <v>30</v>
      </c>
      <c r="U178" s="12" t="n">
        <f aca="false">INDEX(Scale!$B$3:$B$12,MATCH(T178,Scale!$A$3:$A$12,1))</f>
        <v>7</v>
      </c>
      <c r="V178" s="12" t="n">
        <f aca="false">INDEX(Scale!$B$30:$B$38,MATCH(L178,Scale!$A$30:$A$38,0))</f>
        <v>5</v>
      </c>
      <c r="W178" s="17" t="n">
        <f aca="false">MAX(U178,V178)</f>
        <v>7</v>
      </c>
      <c r="X178" s="12" t="n">
        <f aca="false">IF(W178&lt;=3,1,IF(W178&lt;=5,2,IF(W178&lt;=7,3,IF(W178&lt;=8,4,5))))</f>
        <v>3</v>
      </c>
      <c r="Y178" s="13" t="str">
        <f aca="false">IF(S178&lt;=13,"1 day",IF(S178&lt;=15,"1 long day","2 days"))</f>
        <v>2 days</v>
      </c>
      <c r="Z178" s="12" t="n">
        <f aca="false">ROUND(P178*130*Q178,-1)</f>
        <v>8620</v>
      </c>
      <c r="AA178" s="12" t="n">
        <f aca="false">ROUND(P178*120*Q178,-1)</f>
        <v>7960</v>
      </c>
      <c r="AB178" s="12" t="n">
        <f aca="false">ROUND(P178*110*Q178,-1)</f>
        <v>7300</v>
      </c>
      <c r="AC178" s="12" t="n">
        <f aca="false">ROUND(P178*100*Q178,-1)</f>
        <v>6630</v>
      </c>
      <c r="AD178" s="10" t="s">
        <v>596</v>
      </c>
      <c r="AE178" s="16"/>
      <c r="AF178" s="16"/>
      <c r="AG178" s="16"/>
    </row>
    <row r="179" customFormat="false" ht="15" hidden="false" customHeight="false" outlineLevel="0" collapsed="false">
      <c r="A179" s="12" t="n">
        <v>178</v>
      </c>
      <c r="B179" s="13" t="s">
        <v>475</v>
      </c>
      <c r="C179" s="10" t="s">
        <v>597</v>
      </c>
      <c r="D179" s="14" t="s">
        <v>94</v>
      </c>
      <c r="E179" s="14" t="s">
        <v>94</v>
      </c>
      <c r="F179" s="15" t="n">
        <f aca="false">MAX(IFERROR(INDEX(Stations!$B$2:$B$31,MATCH(D179,Stations!$A$2:$A$31,0)),0),IFERROR(INDEX(Stations!$B$2:$B$31,MATCH(E179,Stations!$A$2:$A$31,0)),0))</f>
        <v>2.7</v>
      </c>
      <c r="G179" s="16" t="n">
        <v>10</v>
      </c>
      <c r="H179" s="16" t="n">
        <v>35</v>
      </c>
      <c r="I179" s="16" t="n">
        <v>15</v>
      </c>
      <c r="J179" s="16" t="n">
        <v>950</v>
      </c>
      <c r="K179" s="14" t="s">
        <v>130</v>
      </c>
      <c r="L179" s="14" t="s">
        <v>153</v>
      </c>
      <c r="M179" s="14" t="s">
        <v>239</v>
      </c>
      <c r="N179" s="16" t="n">
        <v>3</v>
      </c>
      <c r="O179" s="16" t="s">
        <v>226</v>
      </c>
      <c r="P179" s="12" t="n">
        <f aca="false">INDEX(Scale!$B$16:$B$26,MATCH(K179,Scale!$A$16:$A$26,0))</f>
        <v>7</v>
      </c>
      <c r="Q179" s="15" t="n">
        <f aca="false">I179/3+J179/350</f>
        <v>7.71428571428571</v>
      </c>
      <c r="R179" s="15" t="n">
        <f aca="false">I179/4.2+J179/500</f>
        <v>5.47142857142857</v>
      </c>
      <c r="S179" s="15" t="n">
        <f aca="false">2*F179+2*G179/60+2*H179/60+Q179+1</f>
        <v>15.6142857142857</v>
      </c>
      <c r="T179" s="15" t="n">
        <f aca="false">I179+J179/100</f>
        <v>24.5</v>
      </c>
      <c r="U179" s="12" t="n">
        <f aca="false">INDEX(Scale!$B$3:$B$12,MATCH(T179,Scale!$A$3:$A$12,1))</f>
        <v>6</v>
      </c>
      <c r="V179" s="12" t="n">
        <f aca="false">INDEX(Scale!$B$30:$B$38,MATCH(L179,Scale!$A$30:$A$38,0))</f>
        <v>6</v>
      </c>
      <c r="W179" s="17" t="n">
        <f aca="false">MAX(U179,V179)</f>
        <v>6</v>
      </c>
      <c r="X179" s="12" t="n">
        <f aca="false">IF(W179&lt;=3,1,IF(W179&lt;=5,2,IF(W179&lt;=7,3,IF(W179&lt;=8,4,5))))</f>
        <v>3</v>
      </c>
      <c r="Y179" s="13" t="str">
        <f aca="false">IF(S179&lt;=13,"1 day",IF(S179&lt;=15,"1 long day","2 days"))</f>
        <v>2 days</v>
      </c>
      <c r="Z179" s="12" t="n">
        <f aca="false">ROUND(P179*130*Q179,-1)</f>
        <v>7020</v>
      </c>
      <c r="AA179" s="12" t="n">
        <f aca="false">ROUND(P179*120*Q179,-1)</f>
        <v>6480</v>
      </c>
      <c r="AB179" s="12" t="n">
        <f aca="false">ROUND(P179*110*Q179,-1)</f>
        <v>5940</v>
      </c>
      <c r="AC179" s="12" t="n">
        <f aca="false">ROUND(P179*100*Q179,-1)</f>
        <v>5400</v>
      </c>
      <c r="AD179" s="10" t="s">
        <v>598</v>
      </c>
      <c r="AE179" s="16"/>
      <c r="AF179" s="16"/>
      <c r="AG179" s="16"/>
    </row>
    <row r="180" customFormat="false" ht="15" hidden="false" customHeight="false" outlineLevel="0" collapsed="false">
      <c r="A180" s="12" t="n">
        <v>179</v>
      </c>
      <c r="B180" s="13" t="s">
        <v>218</v>
      </c>
      <c r="C180" s="10" t="s">
        <v>599</v>
      </c>
      <c r="D180" s="14" t="s">
        <v>66</v>
      </c>
      <c r="E180" s="14" t="s">
        <v>66</v>
      </c>
      <c r="F180" s="15" t="n">
        <f aca="false">MAX(IFERROR(INDEX(Stations!$B$2:$B$31,MATCH(D180,Stations!$A$2:$A$31,0)),0),IFERROR(INDEX(Stations!$B$2:$B$31,MATCH(E180,Stations!$A$2:$A$31,0)),0))</f>
        <v>1.8</v>
      </c>
      <c r="G180" s="16" t="n">
        <v>20</v>
      </c>
      <c r="H180" s="16" t="n">
        <v>0</v>
      </c>
      <c r="I180" s="16" t="n">
        <v>9</v>
      </c>
      <c r="J180" s="16" t="n">
        <v>100</v>
      </c>
      <c r="K180" s="14" t="s">
        <v>130</v>
      </c>
      <c r="L180" s="14" t="s">
        <v>149</v>
      </c>
      <c r="M180" s="14" t="s">
        <v>286</v>
      </c>
      <c r="N180" s="16" t="n">
        <v>3</v>
      </c>
      <c r="O180" s="16" t="s">
        <v>221</v>
      </c>
      <c r="P180" s="12" t="n">
        <f aca="false">INDEX(Scale!$B$16:$B$26,MATCH(K180,Scale!$A$16:$A$26,0))</f>
        <v>7</v>
      </c>
      <c r="Q180" s="15" t="n">
        <f aca="false">I180/3+J180/350</f>
        <v>3.28571428571429</v>
      </c>
      <c r="R180" s="15" t="n">
        <f aca="false">I180/4.2+J180/500</f>
        <v>2.34285714285714</v>
      </c>
      <c r="S180" s="15" t="n">
        <f aca="false">2*F180+2*G180/60+2*H180/60+Q180+1</f>
        <v>8.55238095238095</v>
      </c>
      <c r="T180" s="15" t="n">
        <f aca="false">I180+J180/100</f>
        <v>10</v>
      </c>
      <c r="U180" s="12" t="n">
        <f aca="false">INDEX(Scale!$B$3:$B$12,MATCH(T180,Scale!$A$3:$A$12,1))</f>
        <v>3</v>
      </c>
      <c r="V180" s="12" t="n">
        <f aca="false">INDEX(Scale!$B$30:$B$38,MATCH(L180,Scale!$A$30:$A$38,0))</f>
        <v>3</v>
      </c>
      <c r="W180" s="17" t="n">
        <f aca="false">MAX(U180,V180)</f>
        <v>3</v>
      </c>
      <c r="X180" s="12" t="n">
        <f aca="false">IF(W180&lt;=3,1,IF(W180&lt;=5,2,IF(W180&lt;=7,3,IF(W180&lt;=8,4,5))))</f>
        <v>1</v>
      </c>
      <c r="Y180" s="13" t="str">
        <f aca="false">IF(S180&lt;=13,"1 day",IF(S180&lt;=15,"1 long day","2 days"))</f>
        <v>1 day</v>
      </c>
      <c r="Z180" s="12" t="n">
        <f aca="false">ROUND(P180*130*Q180,-1)</f>
        <v>2990</v>
      </c>
      <c r="AA180" s="12" t="n">
        <f aca="false">ROUND(P180*120*Q180,-1)</f>
        <v>2760</v>
      </c>
      <c r="AB180" s="12" t="n">
        <f aca="false">ROUND(P180*110*Q180,-1)</f>
        <v>2530</v>
      </c>
      <c r="AC180" s="12" t="n">
        <f aca="false">ROUND(P180*100*Q180,-1)</f>
        <v>2300</v>
      </c>
      <c r="AD180" s="10" t="s">
        <v>600</v>
      </c>
      <c r="AE180" s="16"/>
      <c r="AF180" s="16"/>
      <c r="AG180" s="16"/>
    </row>
    <row r="181" customFormat="false" ht="15" hidden="false" customHeight="false" outlineLevel="0" collapsed="false">
      <c r="A181" s="12" t="n">
        <v>180</v>
      </c>
      <c r="B181" s="13" t="s">
        <v>218</v>
      </c>
      <c r="C181" s="10" t="s">
        <v>601</v>
      </c>
      <c r="D181" s="14" t="s">
        <v>81</v>
      </c>
      <c r="E181" s="14" t="s">
        <v>81</v>
      </c>
      <c r="F181" s="15" t="n">
        <f aca="false">MAX(IFERROR(INDEX(Stations!$B$2:$B$31,MATCH(D181,Stations!$A$2:$A$31,0)),0),IFERROR(INDEX(Stations!$B$2:$B$31,MATCH(E181,Stations!$A$2:$A$31,0)),0))</f>
        <v>3.1</v>
      </c>
      <c r="G181" s="16" t="n">
        <v>25</v>
      </c>
      <c r="H181" s="16" t="n">
        <v>0</v>
      </c>
      <c r="I181" s="16" t="n">
        <v>14</v>
      </c>
      <c r="J181" s="16" t="n">
        <v>100</v>
      </c>
      <c r="K181" s="14" t="s">
        <v>128</v>
      </c>
      <c r="L181" s="14" t="s">
        <v>147</v>
      </c>
      <c r="M181" s="14" t="s">
        <v>239</v>
      </c>
      <c r="N181" s="16" t="n">
        <v>4</v>
      </c>
      <c r="O181" s="16" t="s">
        <v>226</v>
      </c>
      <c r="P181" s="12" t="n">
        <f aca="false">INDEX(Scale!$B$16:$B$26,MATCH(K181,Scale!$A$16:$A$26,0))</f>
        <v>6.3</v>
      </c>
      <c r="Q181" s="15" t="n">
        <f aca="false">I181/3+J181/350</f>
        <v>4.95238095238095</v>
      </c>
      <c r="R181" s="15" t="n">
        <f aca="false">I181/4.2+J181/500</f>
        <v>3.53333333333333</v>
      </c>
      <c r="S181" s="15" t="n">
        <f aca="false">2*F181+2*G181/60+2*H181/60+Q181+1</f>
        <v>12.9857142857143</v>
      </c>
      <c r="T181" s="15" t="n">
        <f aca="false">I181+J181/100</f>
        <v>15</v>
      </c>
      <c r="U181" s="12" t="n">
        <f aca="false">INDEX(Scale!$B$3:$B$12,MATCH(T181,Scale!$A$3:$A$12,1))</f>
        <v>4</v>
      </c>
      <c r="V181" s="12" t="n">
        <f aca="false">INDEX(Scale!$B$30:$B$38,MATCH(L181,Scale!$A$30:$A$38,0))</f>
        <v>0</v>
      </c>
      <c r="W181" s="17" t="n">
        <f aca="false">MAX(U181,V181)</f>
        <v>4</v>
      </c>
      <c r="X181" s="12" t="n">
        <f aca="false">IF(W181&lt;=3,1,IF(W181&lt;=5,2,IF(W181&lt;=7,3,IF(W181&lt;=8,4,5))))</f>
        <v>2</v>
      </c>
      <c r="Y181" s="13" t="str">
        <f aca="false">IF(S181&lt;=13,"1 day",IF(S181&lt;=15,"1 long day","2 days"))</f>
        <v>1 day</v>
      </c>
      <c r="Z181" s="12" t="n">
        <f aca="false">ROUND(P181*130*Q181,-1)</f>
        <v>4060</v>
      </c>
      <c r="AA181" s="12" t="n">
        <f aca="false">ROUND(P181*120*Q181,-1)</f>
        <v>3740</v>
      </c>
      <c r="AB181" s="12" t="n">
        <f aca="false">ROUND(P181*110*Q181,-1)</f>
        <v>3430</v>
      </c>
      <c r="AC181" s="12" t="n">
        <f aca="false">ROUND(P181*100*Q181,-1)</f>
        <v>3120</v>
      </c>
      <c r="AD181" s="10" t="s">
        <v>602</v>
      </c>
      <c r="AE181" s="16"/>
      <c r="AF181" s="16"/>
      <c r="AG181" s="16"/>
    </row>
    <row r="182" customFormat="false" ht="15" hidden="false" customHeight="false" outlineLevel="0" collapsed="false">
      <c r="A182" s="12" t="n">
        <v>181</v>
      </c>
      <c r="B182" s="13" t="s">
        <v>266</v>
      </c>
      <c r="C182" s="10" t="s">
        <v>603</v>
      </c>
      <c r="D182" s="14" t="s">
        <v>65</v>
      </c>
      <c r="E182" s="14" t="s">
        <v>66</v>
      </c>
      <c r="F182" s="15" t="n">
        <f aca="false">MAX(IFERROR(INDEX(Stations!$B$2:$B$31,MATCH(D182,Stations!$A$2:$A$31,0)),0),IFERROR(INDEX(Stations!$B$2:$B$31,MATCH(E182,Stations!$A$2:$A$31,0)),0))</f>
        <v>1.8</v>
      </c>
      <c r="G182" s="16" t="n">
        <v>15</v>
      </c>
      <c r="H182" s="16" t="n">
        <v>0</v>
      </c>
      <c r="I182" s="16" t="n">
        <v>16</v>
      </c>
      <c r="J182" s="16" t="n">
        <v>800</v>
      </c>
      <c r="K182" s="14" t="s">
        <v>126</v>
      </c>
      <c r="L182" s="14" t="s">
        <v>147</v>
      </c>
      <c r="M182" s="14" t="s">
        <v>231</v>
      </c>
      <c r="N182" s="16" t="n">
        <v>5</v>
      </c>
      <c r="O182" s="16" t="s">
        <v>226</v>
      </c>
      <c r="P182" s="12" t="n">
        <f aca="false">INDEX(Scale!$B$16:$B$26,MATCH(K182,Scale!$A$16:$A$26,0))</f>
        <v>5.5</v>
      </c>
      <c r="Q182" s="15" t="n">
        <f aca="false">I182/3+J182/350</f>
        <v>7.61904761904762</v>
      </c>
      <c r="R182" s="15" t="n">
        <f aca="false">I182/4.2+J182/500</f>
        <v>5.40952380952381</v>
      </c>
      <c r="S182" s="15" t="n">
        <f aca="false">2*F182+2*G182/60+2*H182/60+Q182+1</f>
        <v>12.7190476190476</v>
      </c>
      <c r="T182" s="15" t="n">
        <f aca="false">I182+J182/100</f>
        <v>24</v>
      </c>
      <c r="U182" s="12" t="n">
        <f aca="false">INDEX(Scale!$B$3:$B$12,MATCH(T182,Scale!$A$3:$A$12,1))</f>
        <v>6</v>
      </c>
      <c r="V182" s="12" t="n">
        <f aca="false">INDEX(Scale!$B$30:$B$38,MATCH(L182,Scale!$A$30:$A$38,0))</f>
        <v>0</v>
      </c>
      <c r="W182" s="17" t="n">
        <f aca="false">MAX(U182,V182)</f>
        <v>6</v>
      </c>
      <c r="X182" s="12" t="n">
        <f aca="false">IF(W182&lt;=3,1,IF(W182&lt;=5,2,IF(W182&lt;=7,3,IF(W182&lt;=8,4,5))))</f>
        <v>3</v>
      </c>
      <c r="Y182" s="13" t="str">
        <f aca="false">IF(S182&lt;=13,"1 day",IF(S182&lt;=15,"1 long day","2 days"))</f>
        <v>1 day</v>
      </c>
      <c r="Z182" s="12" t="n">
        <f aca="false">ROUND(P182*130*Q182,-1)</f>
        <v>5450</v>
      </c>
      <c r="AA182" s="12" t="n">
        <f aca="false">ROUND(P182*120*Q182,-1)</f>
        <v>5030</v>
      </c>
      <c r="AB182" s="12" t="n">
        <f aca="false">ROUND(P182*110*Q182,-1)</f>
        <v>4610</v>
      </c>
      <c r="AC182" s="12" t="n">
        <f aca="false">ROUND(P182*100*Q182,-1)</f>
        <v>4190</v>
      </c>
      <c r="AD182" s="10" t="s">
        <v>604</v>
      </c>
      <c r="AE182" s="16"/>
      <c r="AF182" s="16"/>
      <c r="AG182" s="16"/>
    </row>
    <row r="183" customFormat="false" ht="15" hidden="false" customHeight="false" outlineLevel="0" collapsed="false">
      <c r="A183" s="12" t="n">
        <v>182</v>
      </c>
      <c r="B183" s="13" t="s">
        <v>371</v>
      </c>
      <c r="C183" s="10" t="s">
        <v>605</v>
      </c>
      <c r="D183" s="14" t="s">
        <v>69</v>
      </c>
      <c r="E183" s="14" t="s">
        <v>78</v>
      </c>
      <c r="F183" s="15" t="n">
        <f aca="false">MAX(IFERROR(INDEX(Stations!$B$2:$B$31,MATCH(D183,Stations!$A$2:$A$31,0)),0),IFERROR(INDEX(Stations!$B$2:$B$31,MATCH(E183,Stations!$A$2:$A$31,0)),0))</f>
        <v>3.1</v>
      </c>
      <c r="G183" s="16" t="n">
        <v>25</v>
      </c>
      <c r="H183" s="16" t="n">
        <v>0</v>
      </c>
      <c r="I183" s="16" t="n">
        <v>19</v>
      </c>
      <c r="J183" s="16" t="n">
        <v>1100</v>
      </c>
      <c r="K183" s="14" t="s">
        <v>130</v>
      </c>
      <c r="L183" s="14" t="s">
        <v>149</v>
      </c>
      <c r="M183" s="14" t="s">
        <v>239</v>
      </c>
      <c r="N183" s="16" t="n">
        <v>5</v>
      </c>
      <c r="O183" s="16" t="s">
        <v>252</v>
      </c>
      <c r="P183" s="12" t="n">
        <f aca="false">INDEX(Scale!$B$16:$B$26,MATCH(K183,Scale!$A$16:$A$26,0))</f>
        <v>7</v>
      </c>
      <c r="Q183" s="15" t="n">
        <f aca="false">I183/3+J183/350</f>
        <v>9.47619047619048</v>
      </c>
      <c r="R183" s="15" t="n">
        <f aca="false">I183/4.2+J183/500</f>
        <v>6.72380952380952</v>
      </c>
      <c r="S183" s="15" t="n">
        <f aca="false">2*F183+2*G183/60+2*H183/60+Q183+1</f>
        <v>17.5095238095238</v>
      </c>
      <c r="T183" s="15" t="n">
        <f aca="false">I183+J183/100</f>
        <v>30</v>
      </c>
      <c r="U183" s="12" t="n">
        <f aca="false">INDEX(Scale!$B$3:$B$12,MATCH(T183,Scale!$A$3:$A$12,1))</f>
        <v>7</v>
      </c>
      <c r="V183" s="12" t="n">
        <f aca="false">INDEX(Scale!$B$30:$B$38,MATCH(L183,Scale!$A$30:$A$38,0))</f>
        <v>3</v>
      </c>
      <c r="W183" s="17" t="n">
        <f aca="false">MAX(U183,V183)</f>
        <v>7</v>
      </c>
      <c r="X183" s="12" t="n">
        <f aca="false">IF(W183&lt;=3,1,IF(W183&lt;=5,2,IF(W183&lt;=7,3,IF(W183&lt;=8,4,5))))</f>
        <v>3</v>
      </c>
      <c r="Y183" s="13" t="str">
        <f aca="false">IF(S183&lt;=13,"1 day",IF(S183&lt;=15,"1 long day","2 days"))</f>
        <v>2 days</v>
      </c>
      <c r="Z183" s="12" t="n">
        <f aca="false">ROUND(P183*130*Q183,-1)</f>
        <v>8620</v>
      </c>
      <c r="AA183" s="12" t="n">
        <f aca="false">ROUND(P183*120*Q183,-1)</f>
        <v>7960</v>
      </c>
      <c r="AB183" s="12" t="n">
        <f aca="false">ROUND(P183*110*Q183,-1)</f>
        <v>7300</v>
      </c>
      <c r="AC183" s="12" t="n">
        <f aca="false">ROUND(P183*100*Q183,-1)</f>
        <v>6630</v>
      </c>
      <c r="AD183" s="10" t="s">
        <v>606</v>
      </c>
      <c r="AE183" s="16"/>
      <c r="AF183" s="16"/>
      <c r="AG183" s="16"/>
    </row>
    <row r="184" customFormat="false" ht="15" hidden="false" customHeight="false" outlineLevel="0" collapsed="false">
      <c r="A184" s="12" t="n">
        <v>183</v>
      </c>
      <c r="B184" s="13" t="s">
        <v>388</v>
      </c>
      <c r="C184" s="10" t="s">
        <v>607</v>
      </c>
      <c r="D184" s="14" t="s">
        <v>72</v>
      </c>
      <c r="E184" s="14" t="s">
        <v>72</v>
      </c>
      <c r="F184" s="15" t="n">
        <f aca="false">MAX(IFERROR(INDEX(Stations!$B$2:$B$31,MATCH(D184,Stations!$A$2:$A$31,0)),0),IFERROR(INDEX(Stations!$B$2:$B$31,MATCH(E184,Stations!$A$2:$A$31,0)),0))</f>
        <v>2.6</v>
      </c>
      <c r="G184" s="16" t="n">
        <v>20</v>
      </c>
      <c r="H184" s="16" t="n">
        <v>0</v>
      </c>
      <c r="I184" s="16" t="n">
        <v>20</v>
      </c>
      <c r="J184" s="16" t="n">
        <v>1300</v>
      </c>
      <c r="K184" s="14" t="s">
        <v>128</v>
      </c>
      <c r="L184" s="14" t="s">
        <v>149</v>
      </c>
      <c r="M184" s="14" t="s">
        <v>239</v>
      </c>
      <c r="N184" s="16" t="n">
        <v>3</v>
      </c>
      <c r="O184" s="16" t="s">
        <v>226</v>
      </c>
      <c r="P184" s="12" t="n">
        <f aca="false">INDEX(Scale!$B$16:$B$26,MATCH(K184,Scale!$A$16:$A$26,0))</f>
        <v>6.3</v>
      </c>
      <c r="Q184" s="15" t="n">
        <f aca="false">I184/3+J184/350</f>
        <v>10.3809523809524</v>
      </c>
      <c r="R184" s="15" t="n">
        <f aca="false">I184/4.2+J184/500</f>
        <v>7.36190476190476</v>
      </c>
      <c r="S184" s="15" t="n">
        <f aca="false">2*F184+2*G184/60+2*H184/60+Q184+1</f>
        <v>17.247619047619</v>
      </c>
      <c r="T184" s="15" t="n">
        <f aca="false">I184+J184/100</f>
        <v>33</v>
      </c>
      <c r="U184" s="12" t="n">
        <f aca="false">INDEX(Scale!$B$3:$B$12,MATCH(T184,Scale!$A$3:$A$12,1))</f>
        <v>7</v>
      </c>
      <c r="V184" s="12" t="n">
        <f aca="false">INDEX(Scale!$B$30:$B$38,MATCH(L184,Scale!$A$30:$A$38,0))</f>
        <v>3</v>
      </c>
      <c r="W184" s="17" t="n">
        <f aca="false">MAX(U184,V184)</f>
        <v>7</v>
      </c>
      <c r="X184" s="12" t="n">
        <f aca="false">IF(W184&lt;=3,1,IF(W184&lt;=5,2,IF(W184&lt;=7,3,IF(W184&lt;=8,4,5))))</f>
        <v>3</v>
      </c>
      <c r="Y184" s="13" t="str">
        <f aca="false">IF(S184&lt;=13,"1 day",IF(S184&lt;=15,"1 long day","2 days"))</f>
        <v>2 days</v>
      </c>
      <c r="Z184" s="12" t="n">
        <f aca="false">ROUND(P184*130*Q184,-1)</f>
        <v>8500</v>
      </c>
      <c r="AA184" s="12" t="n">
        <f aca="false">ROUND(P184*120*Q184,-1)</f>
        <v>7850</v>
      </c>
      <c r="AB184" s="12" t="n">
        <f aca="false">ROUND(P184*110*Q184,-1)</f>
        <v>7190</v>
      </c>
      <c r="AC184" s="12" t="n">
        <f aca="false">ROUND(P184*100*Q184,-1)</f>
        <v>6540</v>
      </c>
      <c r="AD184" s="10" t="s">
        <v>608</v>
      </c>
      <c r="AE184" s="16"/>
      <c r="AF184" s="16"/>
      <c r="AG184" s="16"/>
    </row>
    <row r="185" customFormat="false" ht="15" hidden="false" customHeight="false" outlineLevel="0" collapsed="false">
      <c r="A185" s="12" t="n">
        <v>184</v>
      </c>
      <c r="B185" s="13" t="s">
        <v>362</v>
      </c>
      <c r="C185" s="10" t="s">
        <v>609</v>
      </c>
      <c r="D185" s="14" t="s">
        <v>81</v>
      </c>
      <c r="E185" s="14" t="s">
        <v>68</v>
      </c>
      <c r="F185" s="15" t="n">
        <f aca="false">MAX(IFERROR(INDEX(Stations!$B$2:$B$31,MATCH(D185,Stations!$A$2:$A$31,0)),0),IFERROR(INDEX(Stations!$B$2:$B$31,MATCH(E185,Stations!$A$2:$A$31,0)),0))</f>
        <v>3.1</v>
      </c>
      <c r="G185" s="16" t="n">
        <v>20</v>
      </c>
      <c r="H185" s="16" t="n">
        <v>0</v>
      </c>
      <c r="I185" s="16" t="n">
        <v>18</v>
      </c>
      <c r="J185" s="16" t="n">
        <v>600</v>
      </c>
      <c r="K185" s="14" t="s">
        <v>128</v>
      </c>
      <c r="L185" s="14" t="s">
        <v>147</v>
      </c>
      <c r="M185" s="14" t="s">
        <v>231</v>
      </c>
      <c r="N185" s="16" t="n">
        <v>4</v>
      </c>
      <c r="O185" s="16" t="s">
        <v>226</v>
      </c>
      <c r="P185" s="12" t="n">
        <f aca="false">INDEX(Scale!$B$16:$B$26,MATCH(K185,Scale!$A$16:$A$26,0))</f>
        <v>6.3</v>
      </c>
      <c r="Q185" s="15" t="n">
        <f aca="false">I185/3+J185/350</f>
        <v>7.71428571428571</v>
      </c>
      <c r="R185" s="15" t="n">
        <f aca="false">I185/4.2+J185/500</f>
        <v>5.48571428571429</v>
      </c>
      <c r="S185" s="15" t="n">
        <f aca="false">2*F185+2*G185/60+2*H185/60+Q185+1</f>
        <v>15.5809523809524</v>
      </c>
      <c r="T185" s="15" t="n">
        <f aca="false">I185+J185/100</f>
        <v>24</v>
      </c>
      <c r="U185" s="12" t="n">
        <f aca="false">INDEX(Scale!$B$3:$B$12,MATCH(T185,Scale!$A$3:$A$12,1))</f>
        <v>6</v>
      </c>
      <c r="V185" s="12" t="n">
        <f aca="false">INDEX(Scale!$B$30:$B$38,MATCH(L185,Scale!$A$30:$A$38,0))</f>
        <v>0</v>
      </c>
      <c r="W185" s="17" t="n">
        <f aca="false">MAX(U185,V185)</f>
        <v>6</v>
      </c>
      <c r="X185" s="12" t="n">
        <f aca="false">IF(W185&lt;=3,1,IF(W185&lt;=5,2,IF(W185&lt;=7,3,IF(W185&lt;=8,4,5))))</f>
        <v>3</v>
      </c>
      <c r="Y185" s="13" t="str">
        <f aca="false">IF(S185&lt;=13,"1 day",IF(S185&lt;=15,"1 long day","2 days"))</f>
        <v>2 days</v>
      </c>
      <c r="Z185" s="12" t="n">
        <f aca="false">ROUND(P185*130*Q185,-1)</f>
        <v>6320</v>
      </c>
      <c r="AA185" s="12" t="n">
        <f aca="false">ROUND(P185*120*Q185,-1)</f>
        <v>5830</v>
      </c>
      <c r="AB185" s="12" t="n">
        <f aca="false">ROUND(P185*110*Q185,-1)</f>
        <v>5350</v>
      </c>
      <c r="AC185" s="12" t="n">
        <f aca="false">ROUND(P185*100*Q185,-1)</f>
        <v>4860</v>
      </c>
      <c r="AD185" s="10" t="s">
        <v>610</v>
      </c>
      <c r="AE185" s="16"/>
      <c r="AF185" s="16"/>
      <c r="AG185" s="16"/>
    </row>
    <row r="186" customFormat="false" ht="15" hidden="false" customHeight="false" outlineLevel="0" collapsed="false">
      <c r="A186" s="12" t="n">
        <v>185</v>
      </c>
      <c r="B186" s="13" t="s">
        <v>439</v>
      </c>
      <c r="C186" s="10" t="s">
        <v>611</v>
      </c>
      <c r="D186" s="14" t="s">
        <v>83</v>
      </c>
      <c r="E186" s="14" t="s">
        <v>83</v>
      </c>
      <c r="F186" s="15" t="n">
        <f aca="false">MAX(IFERROR(INDEX(Stations!$B$2:$B$31,MATCH(D186,Stations!$A$2:$A$31,0)),0),IFERROR(INDEX(Stations!$B$2:$B$31,MATCH(E186,Stations!$A$2:$A$31,0)),0))</f>
        <v>3.4</v>
      </c>
      <c r="G186" s="16" t="n">
        <v>10</v>
      </c>
      <c r="H186" s="16" t="n">
        <v>0</v>
      </c>
      <c r="I186" s="16" t="n">
        <v>22</v>
      </c>
      <c r="J186" s="16" t="n">
        <v>900</v>
      </c>
      <c r="K186" s="14" t="s">
        <v>128</v>
      </c>
      <c r="L186" s="14" t="s">
        <v>149</v>
      </c>
      <c r="M186" s="14" t="s">
        <v>239</v>
      </c>
      <c r="N186" s="16" t="n">
        <v>4</v>
      </c>
      <c r="O186" s="16" t="s">
        <v>252</v>
      </c>
      <c r="P186" s="12" t="n">
        <f aca="false">INDEX(Scale!$B$16:$B$26,MATCH(K186,Scale!$A$16:$A$26,0))</f>
        <v>6.3</v>
      </c>
      <c r="Q186" s="15" t="n">
        <f aca="false">I186/3+J186/350</f>
        <v>9.90476190476191</v>
      </c>
      <c r="R186" s="15" t="n">
        <f aca="false">I186/4.2+J186/500</f>
        <v>7.03809523809524</v>
      </c>
      <c r="S186" s="15" t="n">
        <f aca="false">2*F186+2*G186/60+2*H186/60+Q186+1</f>
        <v>18.0380952380952</v>
      </c>
      <c r="T186" s="15" t="n">
        <f aca="false">I186+J186/100</f>
        <v>31</v>
      </c>
      <c r="U186" s="12" t="n">
        <f aca="false">INDEX(Scale!$B$3:$B$12,MATCH(T186,Scale!$A$3:$A$12,1))</f>
        <v>7</v>
      </c>
      <c r="V186" s="12" t="n">
        <f aca="false">INDEX(Scale!$B$30:$B$38,MATCH(L186,Scale!$A$30:$A$38,0))</f>
        <v>3</v>
      </c>
      <c r="W186" s="17" t="n">
        <f aca="false">MAX(U186,V186)</f>
        <v>7</v>
      </c>
      <c r="X186" s="12" t="n">
        <f aca="false">IF(W186&lt;=3,1,IF(W186&lt;=5,2,IF(W186&lt;=7,3,IF(W186&lt;=8,4,5))))</f>
        <v>3</v>
      </c>
      <c r="Y186" s="13" t="str">
        <f aca="false">IF(S186&lt;=13,"1 day",IF(S186&lt;=15,"1 long day","2 days"))</f>
        <v>2 days</v>
      </c>
      <c r="Z186" s="12" t="n">
        <f aca="false">ROUND(P186*130*Q186,-1)</f>
        <v>8110</v>
      </c>
      <c r="AA186" s="12" t="n">
        <f aca="false">ROUND(P186*120*Q186,-1)</f>
        <v>7490</v>
      </c>
      <c r="AB186" s="12" t="n">
        <f aca="false">ROUND(P186*110*Q186,-1)</f>
        <v>6860</v>
      </c>
      <c r="AC186" s="12" t="n">
        <f aca="false">ROUND(P186*100*Q186,-1)</f>
        <v>6240</v>
      </c>
      <c r="AD186" s="10" t="s">
        <v>612</v>
      </c>
      <c r="AE186" s="16"/>
      <c r="AF186" s="16"/>
      <c r="AG186" s="16"/>
    </row>
  </sheetData>
  <autoFilter ref="A1:AG186"/>
  <conditionalFormatting sqref="W2:W186">
    <cfRule type="colorScale" priority="2">
      <colorScale>
        <cfvo type="num" val="1"/>
        <cfvo type="num" val="6"/>
        <cfvo type="num" val="10"/>
        <color rgb="FFC6EFCE"/>
        <color rgb="FFFFEB9C"/>
        <color rgb="FFFFC7CE"/>
      </colorScale>
    </cfRule>
  </conditionalFormatting>
  <dataValidations count="1">
    <dataValidation allowBlank="true" errorStyle="stop" operator="between" showDropDown="false" showErrorMessage="false" showInputMessage="false" sqref="AE2:AE18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2026-09-19T08:30:11Z</dcterms:created>
  <dc:creator>openpyxl</dc:creator>
  <dc:description/>
  <dc:language>en-US</dc:language>
  <cp:lastModifiedBy/>
  <dcterms:modified xsi:type="dcterms:W3CDTF">2026-09-19T08:30:11Z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